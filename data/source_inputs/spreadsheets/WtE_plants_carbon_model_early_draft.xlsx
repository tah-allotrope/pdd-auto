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del" sheetId="1" r:id="rId4"/>
    <sheet state="visible" name="Projects" sheetId="2" r:id="rId5"/>
    <sheet state="visible" name="DOXACO" sheetId="3" r:id="rId6"/>
    <sheet state="visible" name="Claude Log" sheetId="4" r:id="rId7"/>
  </sheets>
  <definedNames/>
  <calcPr/>
  <extLst>
    <ext uri="GoogleSheetsCustomDataVersion2">
      <go:sheetsCustomData xmlns:go="http://customooxmlschemas.google.com/" r:id="rId8" roundtripDataChecksum="PbeyRw5phnVexZCRdF8u4yTVNDjpF8DLViWXOgmNZsA="/>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N17">
      <text>
        <t xml:space="preserve">======
ID#AAAB3hHbbE4
Tung Ho    (2026-03-15 23:48:24)
REFERENCE: Shunping active 2032 (partial — expires May 2032, modeled as full year).</t>
      </text>
    </comment>
    <comment authorId="0" ref="J19">
      <text>
        <t xml:space="preserve">======
ID#AAAB3hHbbEw
Tung Ho    (2026-03-15 23:48:24)
REFERENCE: Yingkou crediting period ends Apr 2028 — no 2029 credits.</t>
      </text>
    </comment>
    <comment authorId="0" ref="A14">
      <text>
        <t xml:space="preserve">======
ID#AAAB3hHbbE0
Tung Ho    (2026-03-15 23:48:24)
Source: VCS Registry, https://registry.verra.org/app/projectDetail/VCS/4963</t>
      </text>
    </comment>
    <comment authorId="0" ref="L14">
      <text>
        <t xml:space="preserve">======
ID#AAAB3hHbbEs
Tung Ho    (2026-03-15 23:48:24)
REFERENCE: Liuzhou 2026–2030 total.</t>
      </text>
    </comment>
    <comment authorId="0" ref="G23">
      <text>
        <t xml:space="preserve">======
ID#AAAB3hHbbEo
Tung Ho    (2026-03-15 23:48:24)
2026 = Year 2 of operation (plant started Mar 2025).
IMPORTANT: This uses a flat ER estimate. ACM0022 methodology likely produces negative net ER in early years (see Doxaco precedent). Actual 2026 revenue may be $0.
Placeholder until formal calculation available.</t>
      </text>
    </comment>
    <comment authorId="0" ref="P18">
      <text>
        <t xml:space="preserve">======
ID#AAAB3hHbbEk
Tung Ho    (2026-03-15 23:48:24)
REFERENCE: Yangjiang crediting period expired Jan 2030. Renewal unconfirmed.</t>
      </text>
    </comment>
    <comment authorId="0" ref="B5">
      <text>
        <t xml:space="preserve">======
ID#AAAB3hHbbEg
Tung Ho    (2026-03-15 23:48:24)
Source: Ecosystem Marketplace / Senken.io, March 2026. VCM avg $6.34/ton; energy efficiency/reduction credits ~$5.80/ton. ACM0022 MSW WTE credits are avoidance credits in the lower pricing tier. Update this cell with a project-specific price if available.</t>
      </text>
    </comment>
    <comment authorId="0" ref="H18">
      <text>
        <t xml:space="preserve">======
ID#AAAB3hHbbEc
Tung Ho    (2026-03-15 23:48:24)
REFERENCE: Yangjiang active 2027.</t>
      </text>
    </comment>
    <comment authorId="0" ref="R13">
      <text>
        <t xml:space="preserve">======
ID#AAAB3hHbbEY
Tung Ho    (2026-03-15 23:48:24)
REFERENCE: Linfen 2026–2035 total.</t>
      </text>
    </comment>
    <comment authorId="0" ref="Q15">
      <text>
        <t xml:space="preserve">======
ID#AAAB3hHbbEU
Tung Ho    (2026-03-15 23:48:24)
REFERENCE: Pingnan crediting period expired Jul 2029. Renewal unconfirmed.</t>
      </text>
    </comment>
    <comment authorId="0" ref="F23">
      <text>
        <t xml:space="preserve">======
ID#AAAB3hHbbEQ
Tung Ho    (2026-03-15 23:48:24)
SUGGESTED — DISCUSS IN RISK MEETING
NOT yet VCS registered ✗ | Vietnam-origin | No formal ER calculation ✗
Plant capacity (2,250 tpd) is promising but ER estimate is internal only.
25% reflects: unregistered + no formal calculation + early-stage Vietnam project.
Screenshot comparables: Talus Ag* 25%, Arkea Bio* 30%.
Revise upward once VCS registration and formal calculation are in place.</t>
      </text>
    </comment>
    <comment authorId="0" ref="F17">
      <text>
        <t xml:space="preserve">======
ID#AAAB3hHbbEM
Tung Ho    (2026-03-15 23:48:24)
REFERENCE ONLY — market-rate assumption (50% probability, illustrative). No fee engagement on this project.</t>
      </text>
    </comment>
    <comment authorId="0" ref="K23">
      <text>
        <t xml:space="preserve">======
ID#AAAB3hHbbEI
Tung Ho    (2026-03-15 23:48:24)
2030 = Year 6 of operation.
Flat ER estimate — see C23 note. Assuming 10-year crediting period from 2025, active through 2035.</t>
      </text>
    </comment>
    <comment authorId="0" ref="O20">
      <text>
        <t xml:space="preserve">======
ID#AAAB3hHbbD8
Tung Ho    (2026-03-15 23:48:24)
REFERENCE: Soc Son crediting period expired Jul 2029. Renewal unconfirmed.</t>
      </text>
    </comment>
    <comment authorId="0" ref="G20">
      <text>
        <t xml:space="preserve">======
ID#AAAB3hHbbEE
Tung Ho    (2026-03-15 23:48:24)
REFERENCE: Soc Son active 2026. Crediting period: Jul 2022–Jul 2029.</t>
      </text>
    </comment>
    <comment authorId="0" ref="R15">
      <text>
        <t xml:space="preserve">======
ID#AAAB3hHbbEA
Tung Ho    (2026-03-15 23:48:24)
REFERENCE: Pingnan 2026–2035 total.</t>
      </text>
    </comment>
    <comment authorId="0" ref="J20">
      <text>
        <t xml:space="preserve">======
ID#AAAB3hHbbD0
Tung Ho    (2026-03-15 23:48:24)
REFERENCE: Soc Son active 2029.</t>
      </text>
    </comment>
    <comment authorId="0" ref="N16">
      <text>
        <t xml:space="preserve">======
ID#AAAB3hHbbD4
Tung Ho    (2026-03-15 23:48:24)
REFERENCE: Qixian crediting period expired Dec 2031. Renewal unconfirmed.</t>
      </text>
    </comment>
    <comment authorId="0" ref="D19">
      <text>
        <t xml:space="preserve">======
ID#AAAB3hHbbDw
Tung Ho    (2026-03-15 23:48:24)
Reference only — no fee engagement. Carbon price shown for market context.</t>
      </text>
    </comment>
    <comment authorId="0" ref="O23">
      <text>
        <t xml:space="preserve">======
ID#AAAB3hHbbDs
Tung Ho    (2026-03-15 23:48:24)
2033 = Year 9 of operation. Crediting period assumed active.
Flat ER estimate — pending ACM0022 calculation.</t>
      </text>
    </comment>
    <comment authorId="0" ref="D14">
      <text>
        <t xml:space="preserve">======
ID#AAAB3hHbbDo
Tung Ho    (2026-03-15 23:48:24)
Reference only — no fee engagement. Carbon price shown for market context.</t>
      </text>
    </comment>
    <comment authorId="0" ref="E13">
      <text>
        <t xml:space="preserve">======
ID#AAAB3hHbbDk
Tung Ho    (2026-03-15 23:48:24)
REFERENCE ONLY — market-rate assumption (10% fee, illustrative). No fee engagement on this project.</t>
      </text>
    </comment>
    <comment authorId="0" ref="G16">
      <text>
        <t xml:space="preserve">======
ID#AAAB3hHbbDg
Tung Ho    (2026-03-15 23:48:24)
REFERENCE: Qixian active 2026. Crediting period: Dec 2021–Dec 2031.</t>
      </text>
    </comment>
    <comment authorId="0" ref="E15">
      <text>
        <t xml:space="preserve">======
ID#AAAB3hHbbDc
Tung Ho    (2026-03-15 23:48:24)
REFERENCE ONLY — market-rate assumption (10% fee, illustrative). No fee engagement on this project.</t>
      </text>
    </comment>
    <comment authorId="0" ref="F14">
      <text>
        <t xml:space="preserve">======
ID#AAAB3hHbbDY
Tung Ho    (2026-03-15 23:48:24)
REFERENCE ONLY — market-rate assumption (50% probability, illustrative). No fee engagement on this project.</t>
      </text>
    </comment>
    <comment authorId="0" ref="L20">
      <text>
        <t xml:space="preserve">======
ID#AAAB3hHbbDQ
Tung Ho    (2026-03-15 23:48:24)
REFERENCE: Soc Son 2026–2030 total.</t>
      </text>
    </comment>
    <comment authorId="0" ref="E18">
      <text>
        <t xml:space="preserve">======
ID#AAAB3hHbbDM
Tung Ho    (2026-03-15 23:48:24)
REFERENCE ONLY — market-rate assumption (10% fee, illustrative). No fee engagement on this project.</t>
      </text>
    </comment>
    <comment authorId="0" ref="K14">
      <text>
        <t xml:space="preserve">======
ID#AAAB3hHbbDU
Tung Ho    (2026-03-15 23:48:24)
REFERENCE: Liuzhou active 2030. Crediting period through May 2032.</t>
      </text>
    </comment>
    <comment authorId="0" ref="N15">
      <text>
        <t xml:space="preserve">======
ID#AAAB3hHbbDI
Tung Ho    (2026-03-15 23:48:24)
REFERENCE: Pingnan crediting period expired Jul 2029. Renewal unconfirmed.</t>
      </text>
    </comment>
    <comment authorId="0" ref="C17">
      <text>
        <t xml:space="preserve">======
ID#AAAB3hHbbDE
Tung Ho    (2026-03-15 23:48:24)
Source: VCS Registry / Registered MSW Plants.xlsx, https://registry.verra.org/app/projectDetail/VCS/4928</t>
      </text>
    </comment>
    <comment authorId="0" ref="A17">
      <text>
        <t xml:space="preserve">======
ID#AAAB3hHbbC0
Tung Ho    (2026-03-15 23:48:24)
Source: VCS Registry, https://registry.verra.org/app/projectDetail/VCS/4928</t>
      </text>
    </comment>
    <comment authorId="0" ref="H17">
      <text>
        <t xml:space="preserve">======
ID#AAAB3hHbbC8
Tung Ho    (2026-03-15 23:48:24)
REFERENCE: Shunping active 2027.</t>
      </text>
    </comment>
    <comment authorId="0" ref="R20">
      <text>
        <t xml:space="preserve">======
ID#AAAB3hHbbC4
Tung Ho    (2026-03-15 23:48:24)
REFERENCE: Soc Son 2026–2035 total.</t>
      </text>
    </comment>
    <comment authorId="0" ref="D13">
      <text>
        <t xml:space="preserve">======
ID#AAAB3hHbbDA
Tung Ho    (2026-03-15 23:48:24)
Reference only — no fee engagement. Carbon price shown for market context.</t>
      </text>
    </comment>
    <comment authorId="0" ref="A6">
      <text>
        <t xml:space="preserve">======
ID#AAAB3hHbbCw
Tung Ho    (2026-03-15 23:48:24)
Previously applied uniformly. Now overridden with per-project estimates in Column E (rows 11-20). This cell is retained as a reference default.</t>
      </text>
    </comment>
    <comment authorId="0" ref="F18">
      <text>
        <t xml:space="preserve">======
ID#AAAB3hHbbCs
Tung Ho    (2026-03-15 23:48:24)
REFERENCE ONLY — market-rate assumption (50% probability, illustrative). No fee engagement on this project.</t>
      </text>
    </comment>
    <comment authorId="0" ref="F15">
      <text>
        <t xml:space="preserve">======
ID#AAAB3hHbbCo
Tung Ho    (2026-03-15 23:48:24)
REFERENCE ONLY — market-rate assumption (50% probability, illustrative). No fee engagement on this project.</t>
      </text>
    </comment>
    <comment authorId="0" ref="A23">
      <text>
        <t xml:space="preserve">======
ID#AAAB3hHbbCk
Tung Ho    (2026-03-15 23:48:24)
Plant entered operation March 2025. 2,250 tpd capacity — same size as Liuzhou (largest reference plant).
Not yet VCS registered under ACM0022.
Annual ER of 300,000 tCO2e is an INTERNAL ROUGH ESTIMATE only — no formal calculation exists.
Critical caveat: ACM0022 uses a decay model where avoided landfill methane grows over time. In early years, incineration project emissions typically EXCEED the methane baseline, producing negative net ER (see Doxaco precedent). The flat 300k estimate does NOT account for this ramp-up — actual revenue in 2026-2029 may be lower or zero.
Action items: (1) Confirm VCS registration timeline. (2) Commission formal ACM0022 calculation. (3) Confirm crediting period start date.</t>
      </text>
    </comment>
    <comment authorId="0" ref="Q17">
      <text>
        <t xml:space="preserve">======
ID#AAAB3hHbbCg
Tung Ho    (2026-03-15 23:48:24)
REFERENCE: Shunping crediting period expired May 2032. Renewal unconfirmed.</t>
      </text>
    </comment>
    <comment authorId="0" ref="I14">
      <text>
        <t xml:space="preserve">======
ID#AAAB3hHbbCc
Tung Ho    (2026-03-15 23:48:24)
REFERENCE: Liuzhou active 2028.</t>
      </text>
    </comment>
    <comment authorId="0" ref="O14">
      <text>
        <t xml:space="preserve">======
ID#AAAB3hHbbCY
Tung Ho    (2026-03-15 23:48:24)
REFERENCE: Liuzhou crediting period expired May 2032. Renewal unconfirmed.</t>
      </text>
    </comment>
    <comment authorId="0" ref="L19">
      <text>
        <t xml:space="preserve">======
ID#AAAB3hHbbCU
Tung Ho    (2026-03-15 23:48:24)
REFERENCE: Yingkou 2026–2030 total.</t>
      </text>
    </comment>
    <comment authorId="0" ref="D18">
      <text>
        <t xml:space="preserve">======
ID#AAAB3hHbbCM
Tung Ho    (2026-03-15 23:48:24)
Reference only — no fee engagement. Carbon price shown for market context.</t>
      </text>
    </comment>
    <comment authorId="0" ref="M19">
      <text>
        <t xml:space="preserve">======
ID#AAAB3hHbbCI
Tung Ho    (2026-03-15 23:48:24)
REFERENCE: Yingkou crediting period expired Apr 2028. Renewal unconfirmed.</t>
      </text>
    </comment>
    <comment authorId="0" ref="G17">
      <text>
        <t xml:space="preserve">======
ID#AAAB3hHbbCE
Tung Ho    (2026-03-15 23:48:24)
REFERENCE: Shunping active 2026. Crediting period: May 2022–May 2032.</t>
      </text>
    </comment>
    <comment authorId="0" ref="O18">
      <text>
        <t xml:space="preserve">======
ID#AAAB3hHbbCQ
Tung Ho    (2026-03-15 23:48:24)
REFERENCE: Yangjiang crediting period expired Jan 2030. Renewal unconfirmed.</t>
      </text>
    </comment>
    <comment authorId="0" ref="F22">
      <text>
        <t xml:space="preserve">======
ID#AAAB3hHbbB8
Tung Ho    (2026-03-15 23:48:24)
SUGGESTED — DISCUSS IN RISK MEETING
NOT yet VCS registered ✗ | Vietnam-origin | ACM0022 methodology ✓
Net ER is NEGATIVE in Years 1-5 — no credits until Year 6 (2031 if starting 2026).
Full crediting period ahead but significant execution risk.
Lowest probability in portfolio reflects: unregistered + delayed revenue + ER uncertainty.
Screenshot comparables range 25%–90%. Compare to Talus Ag* (25%) and Arkea Bio* (30%) — early-stage projects.</t>
      </text>
    </comment>
    <comment authorId="0" ref="D16">
      <text>
        <t xml:space="preserve">======
ID#AAAB3hHbbCA
Tung Ho    (2026-03-15 23:48:24)
Reference only — no fee engagement. Carbon price shown for market context.</t>
      </text>
    </comment>
    <comment authorId="0" ref="M16">
      <text>
        <t xml:space="preserve">======
ID#AAAB3hHbbB4
Tung Ho    (2026-03-15 23:48:24)
REFERENCE: Qixian active 2031 (expires Dec 2031). Crediting period through Dec 2031.</t>
      </text>
    </comment>
    <comment authorId="0" ref="K18">
      <text>
        <t xml:space="preserve">======
ID#AAAB3hHbbB0
Tung Ho    (2026-03-15 23:48:24)
REFERENCE: Yangjiang crediting period ends Jan 2030 — only 16 days in 2030, modeled as 0.</t>
      </text>
    </comment>
    <comment authorId="0" ref="J18">
      <text>
        <t xml:space="preserve">======
ID#AAAB3hHbbBw
Tung Ho    (2026-03-15 23:48:24)
REFERENCE: Yangjiang active 2029.</t>
      </text>
    </comment>
    <comment authorId="0" ref="C15">
      <text>
        <t xml:space="preserve">======
ID#AAAB3hHbbBo
Tung Ho    (2026-03-15 23:48:24)
Source: VCS Registry / Registered MSW Plants.xlsx, https://registry.verra.org/app/projectDetail/VCS/5093</t>
      </text>
    </comment>
    <comment authorId="0" ref="P23">
      <text>
        <t xml:space="preserve">======
ID#AAAB3hHbbBk
Tung Ho    (2026-03-15 23:48:24)
2034 = Year 10 of operation. Crediting period assumed active through 2035 (10yr from 2025).
Flat ER estimate — pending ACM0022 calculation.</t>
      </text>
    </comment>
    <comment authorId="0" ref="E17">
      <text>
        <t xml:space="preserve">======
ID#AAAB3hHbbBs
Tung Ho    (2026-03-15 23:48:24)
REFERENCE ONLY — market-rate assumption (10% fee, illustrative). No fee engagement on this project.</t>
      </text>
    </comment>
    <comment authorId="0" ref="Q22">
      <text>
        <t xml:space="preserve">======
ID#AAAB3hHbbBg
Tung Ho    (2026-03-15 23:48:24)
Doxaco Year 10 of operation (2026 start). Net ER = +239,745 tCO2e. Source: Allotrope-ViOT_DOXACO Project_Calculation.xlsx.</t>
      </text>
    </comment>
    <comment authorId="0" ref="E16">
      <text>
        <t xml:space="preserve">======
ID#AAAB3hHbbBc
Tung Ho    (2026-03-15 23:48:24)
REFERENCE ONLY — market-rate assumption (10% fee, illustrative). No fee engagement on this project.</t>
      </text>
    </comment>
    <comment authorId="0" ref="J13">
      <text>
        <t xml:space="preserve">======
ID#AAAB3hHbbBY
Tung Ho    (2026-03-15 23:48:24)
REFERENCE: Linfen active 2029.</t>
      </text>
    </comment>
    <comment authorId="0" ref="R18">
      <text>
        <t xml:space="preserve">======
ID#AAAB3hHbbBU
Tung Ho    (2026-03-15 23:48:24)
REFERENCE: Yangjiang 2026–2035 total.</t>
      </text>
    </comment>
    <comment authorId="0" ref="J23">
      <text>
        <t xml:space="preserve">======
ID#AAAB3hHbbBQ
Tung Ho    (2026-03-15 23:48:24)
2029 = Year 5 of operation.
Flat ER estimate — see C23 note. Actual value pending ACM0022 calculation.</t>
      </text>
    </comment>
    <comment authorId="0" ref="D15">
      <text>
        <t xml:space="preserve">======
ID#AAAB3hHbbBM
Tung Ho    (2026-03-15 23:48:24)
Reference only — no fee engagement. Carbon price shown for market context.</t>
      </text>
    </comment>
    <comment authorId="0" ref="A18">
      <text>
        <t xml:space="preserve">======
ID#AAAB3hHbbBI
Tung Ho    (2026-03-15 23:48:24)
Source: VCS Registry, https://registry.verra.org/app/projectDetail/VCS/4992</t>
      </text>
    </comment>
    <comment authorId="0" ref="I17">
      <text>
        <t xml:space="preserve">======
ID#AAAB3hHbbBE
Tung Ho    (2026-03-15 23:48:24)
REFERENCE: Shunping active 2028.</t>
      </text>
    </comment>
    <comment authorId="0" ref="G13">
      <text>
        <t xml:space="preserve">======
ID#AAAB3hHbbA8
Tung Ho    (2026-03-15 23:48:24)
REFERENCE: Linfen active 2026. Crediting period: Jun 2022–Jun 2029.</t>
      </text>
    </comment>
    <comment authorId="0" ref="M18">
      <text>
        <t xml:space="preserve">======
ID#AAAB3hHbbA4
Tung Ho    (2026-03-15 23:48:24)
REFERENCE: Yangjiang crediting period expired Jan 2030. Renewal unconfirmed.</t>
      </text>
    </comment>
    <comment authorId="0" ref="I15">
      <text>
        <t xml:space="preserve">======
ID#AAAB3hHbbA0
Tung Ho    (2026-03-15 23:48:24)
REFERENCE: Pingnan active 2028.</t>
      </text>
    </comment>
    <comment authorId="0" ref="R14">
      <text>
        <t xml:space="preserve">======
ID#AAAB3hHbbBA
Tung Ho    (2026-03-15 23:48:24)
REFERENCE: Liuzhou 2026–2035 total.</t>
      </text>
    </comment>
    <comment authorId="0" ref="K19">
      <text>
        <t xml:space="preserve">======
ID#AAAB3hHbbAw
Tung Ho    (2026-03-15 23:48:24)
REFERENCE: Yingkou crediting period ends Apr 2028 — no 2030 credits.</t>
      </text>
    </comment>
    <comment authorId="0" ref="G15">
      <text>
        <t xml:space="preserve">======
ID#AAAB3hHbbAs
Tung Ho    (2026-03-15 23:48:24)
REFERENCE: Pingnan active 2026. Crediting period: Jul 2022–Jul 2029.</t>
      </text>
    </comment>
    <comment authorId="0" ref="O13">
      <text>
        <t xml:space="preserve">======
ID#AAAB3hHbbAo
Tung Ho    (2026-03-15 23:48:24)
REFERENCE: Linfen crediting period expired Jun 2029. Renewal unconfirmed.</t>
      </text>
    </comment>
    <comment authorId="0" ref="J16">
      <text>
        <t xml:space="preserve">======
ID#AAAB3hHbbAk
Tung Ho    (2026-03-15 23:48:24)
REFERENCE: Qixian active 2029.</t>
      </text>
    </comment>
    <comment authorId="0" ref="K15">
      <text>
        <t xml:space="preserve">======
ID#AAAB3hHbbAg
Tung Ho    (2026-03-15 23:48:24)
REFERENCE: Pingnan crediting period ends Jul 2029 — no 2030 credits.</t>
      </text>
    </comment>
    <comment authorId="0" ref="D22">
      <text>
        <t xml:space="preserve">======
ID#AAAB3hHbbAc
Tung Ho    (2026-03-15 23:48:24)
SUGGESTED — REVIEW WITH TEAM
ACM0022 avoidance credits (MSW WTE). Vietnam-origin, 600 tpd plant.
Full 10-year crediting period ahead — long runway is attractive to buyers.
However, net ER is negative in Years 1-5, so actual credits only emerge from Year 6+.
Update with actual negotiated price if available.</t>
      </text>
    </comment>
    <comment authorId="0" ref="C16">
      <text>
        <t xml:space="preserve">======
ID#AAAB3hHbbAY
Tung Ho    (2026-03-15 23:48:24)
Source: VCS Registry / Registered MSW Plants.xlsx, https://registry.verra.org/app/projectDetail/VCS/4492</t>
      </text>
    </comment>
    <comment authorId="0" ref="Q13">
      <text>
        <t xml:space="preserve">======
ID#AAAB3hHbbAU
Tung Ho    (2026-03-15 23:48:24)
REFERENCE: Linfen crediting period expired Jun 2029. Renewal unconfirmed.</t>
      </text>
    </comment>
    <comment authorId="0" ref="M23">
      <text>
        <t xml:space="preserve">======
ID#AAAB3hHbbAQ
Tung Ho    (2026-03-15 23:48:24)
2031 = Year 7 of operation. Crediting period assumed active (10yr from 2025).
Flat ER estimate — pending ACM0022 calculation.</t>
      </text>
    </comment>
    <comment authorId="0" ref="M17">
      <text>
        <t xml:space="preserve">======
ID#AAAB3hHbbAM
Tung Ho    (2026-03-15 23:48:24)
REFERENCE: Shunping active 2031. Crediting period through May 2032.</t>
      </text>
    </comment>
    <comment authorId="0" ref="J22">
      <text>
        <t xml:space="preserve">======
ID#AAAB3hHbbAI
Tung Ho    (2026-03-15 23:48:24)
2029 = Year 4 of operation. Net ER = -23,504 tCO2e (negative — no credits generated). Set to 0 in model.</t>
      </text>
    </comment>
    <comment authorId="0" ref="I20">
      <text>
        <t xml:space="preserve">======
ID#AAAB3hHbbAE
Tung Ho    (2026-03-15 23:48:24)
REFERENCE: Soc Son active 2028.</t>
      </text>
    </comment>
    <comment authorId="0" ref="A5">
      <text>
        <t xml:space="preserve">======
ID#AAAB3hHba_8
Tung Ho    (2026-03-15 23:48:24)
Previously applied uniformly. Now overridden with per-project estimates in Column D (rows 11-20). This cell is retained as a reference default.</t>
      </text>
    </comment>
    <comment authorId="0" ref="A20">
      <text>
        <t xml:space="preserve">======
ID#AAAB3hHba_4
Tung Ho    (2026-03-15 23:48:24)
Source: VCS Registry, https://registry.verra.org/app/projectDetail/VCS/2567. Crediting period ends Jul 2029.</t>
      </text>
    </comment>
    <comment authorId="0" ref="L18">
      <text>
        <t xml:space="preserve">======
ID#AAAB3hHbbAA
Tung Ho    (2026-03-15 23:48:24)
REFERENCE: Yangjiang 2026–2030 total.</t>
      </text>
    </comment>
    <comment authorId="0" ref="H20">
      <text>
        <t xml:space="preserve">======
ID#AAAB3hHba_0
Tung Ho    (2026-03-15 23:48:24)
REFERENCE: Soc Son active 2027.</t>
      </text>
    </comment>
    <comment authorId="0" ref="A16">
      <text>
        <t xml:space="preserve">======
ID#AAAB3hHba_w
Tung Ho    (2026-03-15 23:48:24)
Source: VCS Registry, https://registry.verra.org/app/projectDetail/VCS/4492</t>
      </text>
    </comment>
    <comment authorId="0" ref="C22">
      <text>
        <t xml:space="preserve">======
ID#AAAB3hHba_s
Tung Ho    (2026-03-15 23:48:24)
Source: Allotrope-ViOT_DOXACO Project_Calculation.xlsx
This is the 10-year AVERAGE annual ER (367,754 / 10 = 36,775 tCO2e/yr).
Actual annual ERs are highly variable — negative in Years 1-5, positive and growing from Year 6.
Do NOT use this average for year-by-year modeling without considering start year.</t>
      </text>
    </comment>
    <comment authorId="0" ref="F13">
      <text>
        <t xml:space="preserve">======
ID#AAAB3hHba_o
Tung Ho    (2026-03-15 23:48:24)
REFERENCE ONLY — market-rate assumption (50% probability, illustrative). No fee engagement on this project.</t>
      </text>
    </comment>
    <comment authorId="0" ref="E22">
      <text>
        <t xml:space="preserve">======
ID#AAAB3hHba_k
Tung Ho    (2026-03-15 23:48:24)
SUGGESTED — CONFIRM WITH COMMERCIAL TEAM
Suggested 8% (slightly below default). Rationale: long crediting period but no credits until Year 6+.
Lower fee may reflect the delayed revenue timeline and higher project risk.
Is there a signed engagement letter or term sheet with a different fee?
Screenshot comparables range 3%–17%.</t>
      </text>
    </comment>
    <comment authorId="0" ref="H15">
      <text>
        <t xml:space="preserve">======
ID#AAAB3hHba_g
Tung Ho    (2026-03-15 23:48:24)
REFERENCE: Pingnan active 2027.</t>
      </text>
    </comment>
    <comment authorId="0" ref="D17">
      <text>
        <t xml:space="preserve">======
ID#AAAB3hHba_c
Tung Ho    (2026-03-15 23:48:24)
Reference only — no fee engagement. Carbon price shown for market context.</t>
      </text>
    </comment>
    <comment authorId="0" ref="I23">
      <text>
        <t xml:space="preserve">======
ID#AAAB3hHba_Y
Tung Ho    (2026-03-15 23:48:24)
2028 = Year 4 of operation.
Flat ER estimate — see C23 note. Actual value pending ACM0022 calculation.</t>
      </text>
    </comment>
    <comment authorId="0" ref="A15">
      <text>
        <t xml:space="preserve">======
ID#AAAB3hHba_U
Tung Ho    (2026-03-15 23:48:24)
Source: VCS Registry, https://registry.verra.org/app/projectDetail/VCS/5093</t>
      </text>
    </comment>
    <comment authorId="0" ref="C20">
      <text>
        <t xml:space="preserve">======
ID#AAAB3hHba_Q
Tung Ho    (2026-03-15 23:48:24)
Source: VCS Registry / Registered MSW Plants.xlsx, https://registry.verra.org/app/projectDetail/VCS/2567. Crediting period ends Jul 2029.</t>
      </text>
    </comment>
    <comment authorId="0" ref="F19">
      <text>
        <t xml:space="preserve">======
ID#AAAB3hHba_M
Tung Ho    (2026-03-15 23:48:24)
REFERENCE ONLY — market-rate assumption (50% probability, illustrative). No fee engagement on this project.</t>
      </text>
    </comment>
    <comment authorId="0" ref="P15">
      <text>
        <t xml:space="preserve">======
ID#AAAB3hHba_I
Tung Ho    (2026-03-15 23:48:24)
REFERENCE: Pingnan crediting period expired Jul 2029. Renewal unconfirmed.</t>
      </text>
    </comment>
    <comment authorId="0" ref="Q18">
      <text>
        <t xml:space="preserve">======
ID#AAAB3hHba-8
Tung Ho    (2026-03-15 23:48:24)
REFERENCE: Yangjiang crediting period expired Jan 2030. Renewal unconfirmed.</t>
      </text>
    </comment>
    <comment authorId="0" ref="L17">
      <text>
        <t xml:space="preserve">======
ID#AAAB3hHba-4
Tung Ho    (2026-03-15 23:48:24)
REFERENCE: Shunping 2026–2030 total.</t>
      </text>
    </comment>
    <comment authorId="0" ref="J15">
      <text>
        <t xml:space="preserve">======
ID#AAAB3hHba_E
Tung Ho    (2026-03-15 23:48:24)
REFERENCE: Pingnan active 2029.</t>
      </text>
    </comment>
    <comment authorId="0" ref="G14">
      <text>
        <t xml:space="preserve">======
ID#AAAB3hHba_A
Tung Ho    (2026-03-15 23:48:24)
REFERENCE: Liuzhou active 2026. Crediting period: Jun 2022–May 2032.</t>
      </text>
    </comment>
    <comment authorId="0" ref="H23">
      <text>
        <t xml:space="preserve">======
ID#AAAB3hHba-0
Tung Ho    (2026-03-15 23:48:24)
2027 = Year 3 of operation.
Flat ER estimate — see C23 note. Actual value pending ACM0022 calculation.</t>
      </text>
    </comment>
    <comment authorId="0" ref="H16">
      <text>
        <t xml:space="preserve">======
ID#AAAB3hHba-w
Tung Ho    (2026-03-15 23:48:24)
REFERENCE: Qixian active 2027.</t>
      </text>
    </comment>
    <comment authorId="0" ref="P17">
      <text>
        <t xml:space="preserve">======
ID#AAAB3hHba-s
Tung Ho    (2026-03-15 23:48:24)
REFERENCE: Shunping crediting period expired May 2032. Renewal unconfirmed.</t>
      </text>
    </comment>
    <comment authorId="0" ref="R17">
      <text>
        <t xml:space="preserve">======
ID#AAAB3hHba-o
Tung Ho    (2026-03-15 23:48:24)
REFERENCE: Shunping 2026–2035 total.</t>
      </text>
    </comment>
    <comment authorId="0" ref="Q20">
      <text>
        <t xml:space="preserve">======
ID#AAAB3hHba-k
Tung Ho    (2026-03-15 23:48:24)
REFERENCE: Soc Son crediting period expired Jul 2029. Renewal unconfirmed.</t>
      </text>
    </comment>
    <comment authorId="0" ref="N19">
      <text>
        <t xml:space="preserve">======
ID#AAAB3hHba-g
Tung Ho    (2026-03-15 23:48:24)
REFERENCE: Yingkou crediting period expired Apr 2028. Renewal unconfirmed.</t>
      </text>
    </comment>
    <comment authorId="0" ref="K20">
      <text>
        <t xml:space="preserve">======
ID#AAAB3hHba-c
Tung Ho    (2026-03-15 23:48:24)
REFERENCE: Soc Son crediting period ends Jul 2029 — no 2030 credits.</t>
      </text>
    </comment>
    <comment authorId="0" ref="I13">
      <text>
        <t xml:space="preserve">======
ID#AAAB3hHba-Y
Tung Ho    (2026-03-15 23:48:24)
REFERENCE: Linfen active 2028.</t>
      </text>
    </comment>
    <comment authorId="0" ref="O22">
      <text>
        <t xml:space="preserve">======
ID#AAAB3hHba-U
Tung Ho    (2026-03-15 23:48:24)
Doxaco Year 8 of operation (2026 start). Net ER = +82,455 tCO2e. Source: Allotrope-ViOT_DOXACO Project_Calculation.xlsx.</t>
      </text>
    </comment>
    <comment authorId="0" ref="R19">
      <text>
        <t xml:space="preserve">======
ID#AAAB3hHba-Q
Tung Ho    (2026-03-15 23:48:24)
REFERENCE: Yingkou 2026–2035 total.</t>
      </text>
    </comment>
    <comment authorId="0" ref="L15">
      <text>
        <t xml:space="preserve">======
ID#AAAB3hHba-M
Tung Ho    (2026-03-15 23:48:24)
REFERENCE: Pingnan 2026–2030 total.</t>
      </text>
    </comment>
    <comment authorId="0" ref="P22">
      <text>
        <t xml:space="preserve">======
ID#AAAB3hHba-I
Tung Ho    (2026-03-15 23:48:24)
Doxaco Year 9 of operation (2026 start). Net ER = +145,914 tCO2e. Source: Allotrope-ViOT_DOXACO Project_Calculation.xlsx.</t>
      </text>
    </comment>
    <comment authorId="0" ref="N20">
      <text>
        <t xml:space="preserve">======
ID#AAAB3hHba-E
Tung Ho    (2026-03-15 23:48:24)
REFERENCE: Soc Son crediting period expired Jul 2029. Renewal unconfirmed.</t>
      </text>
    </comment>
    <comment authorId="0" ref="C19">
      <text>
        <t xml:space="preserve">======
ID#AAAB3hHba-A
Tung Ho    (2026-03-15 23:48:24)
Source: VCS Registry / Registered MSW Plants.xlsx, https://registry.verra.org/app/projectDetail/VCS/3225. Crediting period ends Apr 2028.</t>
      </text>
    </comment>
    <comment authorId="0" ref="A13">
      <text>
        <t xml:space="preserve">======
ID#AAAB3hHba98
Tung Ho    (2026-03-15 23:48:24)
Source: VCS Registry, https://registry.verra.org/app/projectDetail/VCS/4818</t>
      </text>
    </comment>
    <comment authorId="0" ref="P13">
      <text>
        <t xml:space="preserve">======
ID#AAAB3hHba94
Tung Ho    (2026-03-15 23:48:24)
REFERENCE: Linfen crediting period expired Jun 2029. Renewal unconfirmed.</t>
      </text>
    </comment>
    <comment authorId="0" ref="Q14">
      <text>
        <t xml:space="preserve">======
ID#AAAB3hHba90
Tung Ho    (2026-03-15 23:48:24)
REFERENCE: Liuzhou crediting period expired May 2032. Renewal unconfirmed.</t>
      </text>
    </comment>
    <comment authorId="0" ref="Q16">
      <text>
        <t xml:space="preserve">======
ID#AAAB3hHba9w
Tung Ho    (2026-03-15 23:48:24)
REFERENCE: Qixian crediting period expired Dec 2031. Renewal unconfirmed.</t>
      </text>
    </comment>
    <comment authorId="0" ref="C14">
      <text>
        <t xml:space="preserve">======
ID#AAAB3hHba9s
Tung Ho    (2026-03-15 23:48:24)
Source: VCS Registry / Registered MSW Plants.xlsx, https://registry.verra.org/app/projectDetail/VCS/4963</t>
      </text>
    </comment>
    <comment authorId="0" ref="M13">
      <text>
        <t xml:space="preserve">======
ID#AAAB3hHba9o
Tung Ho    (2026-03-15 23:48:24)
REFERENCE: Linfen crediting period expired Jun 2029. Renewal unconfirmed.</t>
      </text>
    </comment>
    <comment authorId="0" ref="G22">
      <text>
        <t xml:space="preserve">======
ID#AAAB3hHba9g
Tung Ho    (2026-03-15 23:48:24)
2026 = Year 1 of operation. Net ER = -44,158 tCO2e (negative — no credits generated). Set to 0 in model.</t>
      </text>
    </comment>
    <comment authorId="0" ref="N23">
      <text>
        <t xml:space="preserve">======
ID#AAAB3hHba9k
Tung Ho    (2026-03-15 23:48:24)
2032 = Year 8 of operation. Crediting period assumed active.
Flat ER estimate — pending ACM0022 calculation.</t>
      </text>
    </comment>
    <comment authorId="0" ref="C18">
      <text>
        <t xml:space="preserve">======
ID#AAAB3hHba9c
Tung Ho    (2026-03-15 23:48:24)
Source: VCS Registry / Registered MSW Plants.xlsx, https://registry.verra.org/app/projectDetail/VCS/4992</t>
      </text>
    </comment>
    <comment authorId="0" ref="I16">
      <text>
        <t xml:space="preserve">======
ID#AAAB3hHba9Y
Tung Ho    (2026-03-15 23:48:24)
REFERENCE: Qixian active 2028.</t>
      </text>
    </comment>
    <comment authorId="0" ref="P20">
      <text>
        <t xml:space="preserve">======
ID#AAAB3hHba9U
Tung Ho    (2026-03-15 23:48:24)
REFERENCE: Soc Son crediting period expired Jul 2029. Renewal unconfirmed.</t>
      </text>
    </comment>
    <comment authorId="0" ref="P16">
      <text>
        <t xml:space="preserve">======
ID#AAAB3hHba9Q
Tung Ho    (2026-03-15 23:48:24)
REFERENCE: Qixian crediting period expired Dec 2031. Renewal unconfirmed.</t>
      </text>
    </comment>
    <comment authorId="0" ref="F16">
      <text>
        <t xml:space="preserve">======
ID#AAAB3hHba9M
Tung Ho    (2026-03-15 23:48:24)
REFERENCE ONLY — market-rate assumption (50% probability, illustrative). No fee engagement on this project.</t>
      </text>
    </comment>
    <comment authorId="0" ref="A7">
      <text>
        <t xml:space="preserve">======
ID#AAAB3hHba9I
Tung Ho    (2026-03-15 23:48:24)
Previously applied uniformly. Now overridden with per-project probability assessments in Column F (rows 11-20). This cell is retained as a reference default.</t>
      </text>
    </comment>
    <comment authorId="0" ref="Q23">
      <text>
        <t xml:space="preserve">======
ID#AAAB3hHba9E
Tung Ho    (2026-03-15 23:48:24)
2035 = Year 11 of operation — OUTSIDE assumed 10-year crediting period if started Mar 2025.
Modeled as active here conservatively; confirm crediting period end date.
Flat ER estimate — pending ACM0022 calculation.</t>
      </text>
    </comment>
    <comment authorId="0" ref="P19">
      <text>
        <t xml:space="preserve">======
ID#AAAB3hHba88
Tung Ho    (2026-03-15 23:48:24)
REFERENCE: Yingkou crediting period expired Apr 2028. Renewal unconfirmed.</t>
      </text>
    </comment>
    <comment authorId="0" ref="I18">
      <text>
        <t xml:space="preserve">======
ID#AAAB3hHba84
Tung Ho    (2026-03-15 23:48:24)
REFERENCE: Yangjiang active 2028.</t>
      </text>
    </comment>
    <comment authorId="0" ref="L13">
      <text>
        <t xml:space="preserve">======
ID#AAAB3hHba80
Tung Ho    (2026-03-15 23:48:24)
REFERENCE: Linfen 2026–2030 total (market-rate illustrative).</t>
      </text>
    </comment>
    <comment authorId="0" ref="H22">
      <text>
        <t xml:space="preserve">======
ID#AAAB3hHba9A
Tung Ho    (2026-03-15 23:48:24)
2027 = Year 2 of operation. Net ER = -39,541 tCO2e (negative — no credits generated). Set to 0 in model.</t>
      </text>
    </comment>
    <comment authorId="0" ref="E19">
      <text>
        <t xml:space="preserve">======
ID#AAAB3hHba8w
Tung Ho    (2026-03-15 23:48:24)
REFERENCE ONLY — market-rate assumption (10% fee, illustrative). No fee engagement on this project.</t>
      </text>
    </comment>
    <comment authorId="0" ref="Q19">
      <text>
        <t xml:space="preserve">======
ID#AAAB3hHba8s
Tung Ho    (2026-03-15 23:48:24)
REFERENCE: Yingkou crediting period expired Apr 2028. Renewal unconfirmed.</t>
      </text>
    </comment>
    <comment authorId="0" ref="N18">
      <text>
        <t xml:space="preserve">======
ID#AAAB3hHba8o
Tung Ho    (2026-03-15 23:48:24)
REFERENCE: Yangjiang crediting period expired Jan 2030. Renewal unconfirmed.</t>
      </text>
    </comment>
    <comment authorId="0" ref="D20">
      <text>
        <t xml:space="preserve">======
ID#AAAB3hHba8k
Tung Ho    (2026-03-15 23:48:24)
Reference only — no fee engagement. Carbon price shown for market context.</t>
      </text>
    </comment>
    <comment authorId="0" ref="M15">
      <text>
        <t xml:space="preserve">======
ID#AAAB3hHba8c
Tung Ho    (2026-03-15 23:48:24)
REFERENCE: Pingnan crediting period expired Jul 2029. Renewal unconfirmed.</t>
      </text>
    </comment>
    <comment authorId="0" ref="C23">
      <text>
        <t xml:space="preserve">======
ID#AAAB3hHba8Y
Tung Ho    (2026-03-15 23:48:24)
INTERNAL ESTIMATE — ROUGH ONLY
Source: Internal team estimate based on plant capacity (2,250 tpd).
Not derived from ACM0022 calculation. Actual ER will depend on:
  • Waste composition survey
  • ACM0022 decay model (landfill methane baseline vs. incineration PE)
  • Note: ACM0022 typically produces NEGATIVE net ER in early years (similar to Doxaco) — this flat estimate may overstate near-term credits.
Replace with formal calculation once available.</t>
      </text>
    </comment>
    <comment authorId="0" ref="H13">
      <text>
        <t xml:space="preserve">======
ID#AAAB3hHba8g
Tung Ho    (2026-03-15 23:48:24)
REFERENCE: Linfen active 2027.</t>
      </text>
    </comment>
    <comment authorId="0" ref="O17">
      <text>
        <t xml:space="preserve">======
ID#AAAB3hHba8U
Tung Ho    (2026-03-15 23:48:24)
REFERENCE: Shunping crediting period expired May 2032. Renewal unconfirmed.</t>
      </text>
    </comment>
    <comment authorId="0" ref="G18">
      <text>
        <t xml:space="preserve">======
ID#AAAB3hHba8Q
Tung Ho    (2026-03-15 23:48:24)
REFERENCE: Yangjiang active 2026. Crediting period: Jan 2023–Jan 2030.</t>
      </text>
    </comment>
    <comment authorId="0" ref="I22">
      <text>
        <t xml:space="preserve">======
ID#AAAB3hHba8M
Tung Ho    (2026-03-15 23:48:24)
2028 = Year 3 of operation. Net ER = -32,963 tCO2e (negative — no credits generated). Set to 0 in model.</t>
      </text>
    </comment>
    <comment authorId="0" ref="G19">
      <text>
        <t xml:space="preserve">======
ID#AAAB3hHba8I
Tung Ho    (2026-03-15 23:48:24)
REFERENCE: Yingkou active 2026. Crediting period: Apr 2021–Apr 2028.</t>
      </text>
    </comment>
    <comment authorId="0" ref="J14">
      <text>
        <t xml:space="preserve">======
ID#AAAB3hHba78
Tung Ho    (2026-03-15 23:48:24)
REFERENCE: Liuzhou active 2029.</t>
      </text>
    </comment>
    <comment authorId="0" ref="O16">
      <text>
        <t xml:space="preserve">======
ID#AAAB3hHba8E
Tung Ho    (2026-03-15 23:48:24)
REFERENCE: Qixian crediting period expired Dec 2031. Renewal unconfirmed.</t>
      </text>
    </comment>
    <comment authorId="0" ref="K13">
      <text>
        <t xml:space="preserve">======
ID#AAAB3hHba8A
Tung Ho    (2026-03-15 23:48:24)
REFERENCE: Linfen crediting period ends Jun 2029 — no 2030 credits.</t>
      </text>
    </comment>
    <comment authorId="0" ref="O19">
      <text>
        <t xml:space="preserve">======
ID#AAAB3hHba74
Tung Ho    (2026-03-15 23:48:24)
REFERENCE: Yingkou crediting period expired Apr 2028. Renewal unconfirmed.</t>
      </text>
    </comment>
    <comment authorId="0" ref="N22">
      <text>
        <t xml:space="preserve">======
ID#AAAB3hHba70
Tung Ho    (2026-03-15 23:48:24)
Doxaco Year 7 of operation (2026 start). Net ER = +39,432 tCO2e. Source: Allotrope-ViOT_DOXACO Project_Calculation.xlsx.</t>
      </text>
    </comment>
    <comment authorId="0" ref="M20">
      <text>
        <t xml:space="preserve">======
ID#AAAB3hHba7w
Tung Ho    (2026-03-15 23:48:24)
REFERENCE: Soc Son crediting period expired Jul 2029. Renewal unconfirmed.</t>
      </text>
    </comment>
    <comment authorId="0" ref="R16">
      <text>
        <t xml:space="preserve">======
ID#AAAB3hHba7s
Tung Ho    (2026-03-15 23:48:24)
REFERENCE: Qixian 2026–2035 total.</t>
      </text>
    </comment>
    <comment authorId="0" ref="H14">
      <text>
        <t xml:space="preserve">======
ID#AAAB3hHba7o
Tung Ho    (2026-03-15 23:48:24)
REFERENCE: Liuzhou active 2027.</t>
      </text>
    </comment>
    <comment authorId="0" ref="E14">
      <text>
        <t xml:space="preserve">======
ID#AAAB3hHba7k
Tung Ho    (2026-03-15 23:48:24)
REFERENCE ONLY — market-rate assumption (10% fee, illustrative). No fee engagement on this project.</t>
      </text>
    </comment>
    <comment authorId="0" ref="I19">
      <text>
        <t xml:space="preserve">======
ID#AAAB3hHba7g
Tung Ho    (2026-03-15 23:48:24)
REFERENCE: Yingkou active 2028 (partial — expires Apr 2028, modeled as full year).</t>
      </text>
    </comment>
    <comment authorId="0" ref="E23">
      <text>
        <t xml:space="preserve">======
ID#AAAB3hHba7c
Tung Ho    (2026-03-15 23:48:24)
SUGGESTED — CONFIRM WITH COMMERCIAL TEAM
8% suggested fee. Rationale: early-stage project, not yet registered.
Update with actual agreed fee from engagement letter or term sheet.
Screenshot comparables range 3%–17%.
------
ID#AAAB2wXt6fs
Hang Tran    (2026-04-09 06:53:22)
Changed to 7%</t>
      </text>
    </comment>
    <comment authorId="0" ref="E20">
      <text>
        <t xml:space="preserve">======
ID#AAAB3hHba7Y
Tung Ho    (2026-03-15 23:48:24)
REFERENCE ONLY — market-rate assumption (10% fee, illustrative). No fee engagement on this project.</t>
      </text>
    </comment>
    <comment authorId="0" ref="K17">
      <text>
        <t xml:space="preserve">======
ID#AAAB3hHba7U
Tung Ho    (2026-03-15 23:48:24)
REFERENCE: Shunping active 2030. Crediting period through May 2032.</t>
      </text>
    </comment>
    <comment authorId="0" ref="K16">
      <text>
        <t xml:space="preserve">======
ID#AAAB3hHba7Q
Tung Ho    (2026-03-15 23:48:24)
REFERENCE: Qixian active 2030. Crediting period through Dec 2031.</t>
      </text>
    </comment>
    <comment authorId="0" ref="O15">
      <text>
        <t xml:space="preserve">======
ID#AAAB3hHba7M
Tung Ho    (2026-03-15 23:48:24)
REFERENCE: Pingnan crediting period expired Jul 2029. Renewal unconfirmed.</t>
      </text>
    </comment>
    <comment authorId="0" ref="F20">
      <text>
        <t xml:space="preserve">======
ID#AAAB3hHba7I
Tung Ho    (2026-03-15 23:48:24)
REFERENCE ONLY — market-rate assumption (50% probability, illustrative). No fee engagement on this project.</t>
      </text>
    </comment>
    <comment authorId="0" ref="N13">
      <text>
        <t xml:space="preserve">======
ID#AAAB3hHba68
Tung Ho    (2026-03-15 23:48:24)
REFERENCE: Linfen crediting period expired Jun 2029. Renewal unconfirmed.</t>
      </text>
    </comment>
    <comment authorId="0" ref="H19">
      <text>
        <t xml:space="preserve">======
ID#AAAB3hHba7E
Tung Ho    (2026-03-15 23:48:24)
REFERENCE: Yingkou active 2027.</t>
      </text>
    </comment>
    <comment authorId="0" ref="N14">
      <text>
        <t xml:space="preserve">======
ID#AAAB3hHba7A
Tung Ho    (2026-03-15 23:48:24)
REFERENCE: Liuzhou active 2032 (partial — expires May 2032, modeled as full year).</t>
      </text>
    </comment>
    <comment authorId="0" ref="C13">
      <text>
        <t xml:space="preserve">======
ID#AAAB3hHba64
Tung Ho    (2026-03-15 23:48:24)
Source: VCS Registry / Registered MSW Plants.xlsx, https://registry.verra.org/app/projectDetail/VCS/4818</t>
      </text>
    </comment>
    <comment authorId="0" ref="M22">
      <text>
        <t xml:space="preserve">======
ID#AAAB3hHba60
Tung Ho    (2026-03-15 23:48:24)
Doxaco Year 6 of operation (2026 start). Net ER = +10,174 tCO2e. Source: Allotrope-ViOT_DOXACO Project_Calculation.xlsx.</t>
      </text>
    </comment>
    <comment authorId="0" ref="M14">
      <text>
        <t xml:space="preserve">======
ID#AAAB3hHba6w
Tung Ho    (2026-03-15 23:48:24)
REFERENCE: Liuzhou active 2031. Crediting period through May 2032.</t>
      </text>
    </comment>
    <comment authorId="0" ref="P14">
      <text>
        <t xml:space="preserve">======
ID#AAAB3hHba6s
Tung Ho    (2026-03-15 23:48:24)
REFERENCE: Liuzhou crediting period expired May 2032. Renewal unconfirmed.</t>
      </text>
    </comment>
    <comment authorId="0" ref="L16">
      <text>
        <t xml:space="preserve">======
ID#AAAB3hHba6o
Tung Ho    (2026-03-15 23:48:24)
REFERENCE: Qixian 2026–2030 total.</t>
      </text>
    </comment>
    <comment authorId="0" ref="D23">
      <text>
        <t xml:space="preserve">======
ID#AAAB3hHba6k
Tung Ho    (2026-03-15 23:48:24)
SUGGESTED — REVIEW WITH TEAM
Vietnam-origin ACM0022 avoidance credits. $6/ton placeholder based on portfolio average.
2,250 tpd plant — same capacity as Liuzhou, largest in portfolio.
High volume should attract bulk offtake interest.
Update with actual negotiated price when available.</t>
      </text>
    </comment>
    <comment authorId="0" ref="A22">
      <text>
        <t xml:space="preserve">======
ID#AAAB3hHba6g
Tung Ho    (2026-03-15 23:48:24)
Source: Allotrope-ViOT_DOXACO Project_Calculation.xlsx
ACM0022 calculation: Total VCUs = 367,754 tCO2e over 10 years.
IMPORTANT: Net ER is NEGATIVE in Years 1-5 (incineration PE exceeds methane baseline BE). Only turns positive from Year 6 onward.
If project starts 2026: all years 2026-2030 are negative — $0 fee revenue in model window.
Year-by-year ER (from start): Yr1:-44,158 | Yr2:-39,541 | Yr3:-32,963 | Yr4:-23,504 | Yr5:-9,801 | Yr6:+10,174 | Yr7:+39,432 | Yr8:+82,455 | Yr9:+145,914 | Yr10:+239,745</t>
      </text>
    </comment>
    <comment authorId="0" ref="K22">
      <text>
        <t xml:space="preserve">======
ID#AAAB3hHba6c
Tung Ho    (2026-03-15 23:48:24)
2030 = Year 5 of operation. Net ER = -9,801 tCO2e (negative — no credits generated). Set to 0 in model.</t>
      </text>
    </comment>
    <comment authorId="0" ref="A19">
      <text>
        <t xml:space="preserve">======
ID#AAAB3hHba6Y
Tung Ho    (2026-03-15 23:48:24)
Source: VCS Registry, https://registry.verra.org/app/projectDetail/VCS/3225</t>
      </text>
    </comment>
    <comment authorId="0" ref="J17">
      <text>
        <t xml:space="preserve">======
ID#AAAB3hHba6U
Tung Ho    (2026-03-15 23:48:24)
REFERENCE: Shunping active 2029.</t>
      </text>
    </comment>
  </commentList>
  <extLst>
    <ext uri="GoogleSheetsCustomDataVersion2">
      <go:sheetsCustomData xmlns:go="http://customooxmlschemas.google.com/" r:id="rId1" roundtripDataSignature="AMtx7mgKNN2SCM99cMETfqMuMisD3+JlpA=="/>
    </ext>
  </extLst>
</comments>
</file>

<file path=xl/sharedStrings.xml><?xml version="1.0" encoding="utf-8"?>
<sst xmlns="http://schemas.openxmlformats.org/spreadsheetml/2006/main" count="263" uniqueCount="204">
  <si>
    <t>MSW / Waste-to-Energy Success Fee Model (VCS ACM0022)</t>
  </si>
  <si>
    <t>Source: Registered MSW Plants.xlsx | VCS Registry | Market pricing as of March 2026</t>
  </si>
  <si>
    <t>KEY ASSUMPTIONS</t>
  </si>
  <si>
    <t>Assumed Avg. Carbon Price ($/ton)</t>
  </si>
  <si>
    <t>Default Success Fee %</t>
  </si>
  <si>
    <t>Default Probability Adjustment</t>
  </si>
  <si>
    <t>Note: Blue cells = inputs to change per project. Yellow = key assumption defaults. Hover over D/E/F cells for rationale notes.</t>
  </si>
  <si>
    <t>EXTENDED PERIOD — CONFIRMED DATA ONLY (renewals excluded)</t>
  </si>
  <si>
    <t>Project Name</t>
  </si>
  <si>
    <t>Country</t>
  </si>
  <si>
    <t>Annual Emission Reductions (tCO2e)</t>
  </si>
  <si>
    <t>Assumed Avg Carbon Price Over Entire Period</t>
  </si>
  <si>
    <t>Success Fee Percentage</t>
  </si>
  <si>
    <t>Probability Adjusted</t>
  </si>
  <si>
    <t>Total (2026-2030)</t>
  </si>
  <si>
    <t>Total (2026-2035)</t>
  </si>
  <si>
    <t>REFERENCE PORTFOLIO — Registered MSW/WTE Plants (market context only, no fee engagement)</t>
  </si>
  <si>
    <t>Linfen MSW Incineration and Power Generation Project</t>
  </si>
  <si>
    <t>China</t>
  </si>
  <si>
    <t>Liuzhou MSW Incineration Project</t>
  </si>
  <si>
    <t>Pingnan MSW Incineration and Power Generation</t>
  </si>
  <si>
    <t>Qixian MSW Incineration Project</t>
  </si>
  <si>
    <t>Shunping MSW Incineration PPP Project</t>
  </si>
  <si>
    <t>Yangjiang MSW Incineration and Power Generation</t>
  </si>
  <si>
    <t>Yingkou MSW Incineration and Power Generation Project</t>
  </si>
  <si>
    <t>Soc Son Waste to Power Plant Project</t>
  </si>
  <si>
    <t>Vietnam</t>
  </si>
  <si>
    <t>OUR CLIENTS — Active Fee Engagements (Vietnam)</t>
  </si>
  <si>
    <t>Doxaco WTE Project (Vietnam)</t>
  </si>
  <si>
    <t>Seraphin WTE Project (Vietnam)</t>
  </si>
  <si>
    <t>OUR CLIENTS TOTAL (Doxaco + Seraphin)</t>
  </si>
  <si>
    <t>Total Tons Delivered — Risk Adjusted (Our Clients)</t>
  </si>
  <si>
    <t>CREDITING PERIOD REFERENCE</t>
  </si>
  <si>
    <t>Project</t>
  </si>
  <si>
    <t>Crediting Period</t>
  </si>
  <si>
    <t>Active Years in Model</t>
  </si>
  <si>
    <t>VCS Link</t>
  </si>
  <si>
    <t>Linfen</t>
  </si>
  <si>
    <t>14 Jun 2022 – 13 Jun 2029</t>
  </si>
  <si>
    <t>2026, 2027, 2028, 2029</t>
  </si>
  <si>
    <t>https://registry.verra.org/app/projectDetail/VCS/4818</t>
  </si>
  <si>
    <t>Liuzhou</t>
  </si>
  <si>
    <t>1 Jun 2022 – 31 May 2032</t>
  </si>
  <si>
    <t>2026, 2027, 2028, 2029, 2030</t>
  </si>
  <si>
    <t>https://registry.verra.org/app/projectDetail/VCS/4963</t>
  </si>
  <si>
    <t>Pingnan</t>
  </si>
  <si>
    <t>7 Jul 2022 – 6 Jul 2029</t>
  </si>
  <si>
    <t>https://registry.verra.org/app/projectDetail/VCS/5093</t>
  </si>
  <si>
    <t>Qixian</t>
  </si>
  <si>
    <t>8 Dec 2021 – 7 Dec 2031</t>
  </si>
  <si>
    <t>https://registry.verra.org/app/projectDetail/VCS/4492</t>
  </si>
  <si>
    <t>Shunping</t>
  </si>
  <si>
    <t>13 May 2022 – 12 May 2032</t>
  </si>
  <si>
    <t>https://registry.verra.org/app/projectDetail/VCS/4928</t>
  </si>
  <si>
    <t>Yangjiang</t>
  </si>
  <si>
    <t>17 Jan 2023 – 16 Jan 2030</t>
  </si>
  <si>
    <t>https://registry.verra.org/app/projectDetail/VCS/4992</t>
  </si>
  <si>
    <t>Yingkou</t>
  </si>
  <si>
    <t>15 Apr 2021 – 14 Apr 2028</t>
  </si>
  <si>
    <t>2026, 2027, 2028 only</t>
  </si>
  <si>
    <t>https://registry.verra.org/app/projectDetail/VCS/3225</t>
  </si>
  <si>
    <t>Soc Son</t>
  </si>
  <si>
    <t>24 Jul 2022 – 23 Jul 2029</t>
  </si>
  <si>
    <t>2026, 2027, 2028, 2029 only</t>
  </si>
  <si>
    <t>https://registry.verra.org/app/projectDetail/VCS/2567</t>
  </si>
  <si>
    <t>Doxaco (Vietnam)</t>
  </si>
  <si>
    <t>Not yet registered — 10yr calculation exists</t>
  </si>
  <si>
    <t>2026 start assumed: all 2026-2030 net ERs negative. $0 revenue in model window.</t>
  </si>
  <si>
    <t>Allotrope-ViOT_DOXACO Project_Calculation.xlsx</t>
  </si>
  <si>
    <t>Seraphin</t>
  </si>
  <si>
    <t>Not available</t>
  </si>
  <si>
    <t>Set to 0 — emission reductions not yet calculated</t>
  </si>
  <si>
    <t>N/A</t>
  </si>
  <si>
    <t>COLOR LEGEND</t>
  </si>
  <si>
    <t>Blue text</t>
  </si>
  <si>
    <t>Hardcoded inputs — change these per project</t>
  </si>
  <si>
    <t>Yellow background</t>
  </si>
  <si>
    <t>Key assumptions needing attention</t>
  </si>
  <si>
    <t>Grey values (0)</t>
  </si>
  <si>
    <t>Inactive years (outside crediting period) or missing data</t>
  </si>
  <si>
    <t>Black text</t>
  </si>
  <si>
    <t>Formulas — auto-calculate from inputs</t>
  </si>
  <si>
    <t>KEY FINDING: DOXACO WTE PROJECT</t>
  </si>
  <si>
    <t>How ACM0022 works: credits = avoided landfill methane (grows over time) MINUS incineration project emissions (constant).</t>
  </si>
  <si>
    <t>Doxaco result: net ER is NEGATIVE in Years 1–5 (incineration CO2 exceeds methane baseline). Turns positive only from Year 6.</t>
  </si>
  <si>
    <t>With a 2026 start, the entire 2026–2030 model window is negative — $0 success fee revenue. Credits only emerge post-2031.</t>
  </si>
  <si>
    <t>To generate revenue in model window, Doxaco would need to have started ≤2024. Confirm start date with project team.</t>
  </si>
  <si>
    <t>Treatment capacity (tpd)</t>
  </si>
  <si>
    <t>Generated electricity
MWh</t>
  </si>
  <si>
    <t>Estimated Annual Emission Reductions</t>
  </si>
  <si>
    <t>Wood and wood products
(%, wet)</t>
  </si>
  <si>
    <t>Pulp, paper and cardboard
(%, wet)</t>
  </si>
  <si>
    <t>Food, food waste, beverage and tobacco
(%, wet)</t>
  </si>
  <si>
    <t>Textiles
(%, wet)</t>
  </si>
  <si>
    <t>Garden, yard and park waste
(%, wet)</t>
  </si>
  <si>
    <t>Glass
(%, wet)</t>
  </si>
  <si>
    <t>Metal
(%, wet)</t>
  </si>
  <si>
    <t>Plastics
(%, wet)</t>
  </si>
  <si>
    <t>Rubber
(%, wet)</t>
  </si>
  <si>
    <t>Other, inert waste
(%, wet)</t>
  </si>
  <si>
    <t>Crediting Period Term</t>
  </si>
  <si>
    <t>VCS Methodology</t>
  </si>
  <si>
    <t>Ref</t>
  </si>
  <si>
    <t>Province/Country</t>
  </si>
  <si>
    <t>1st, 14/06/2022 - 13/06/2029</t>
  </si>
  <si>
    <t>ACM0022</t>
  </si>
  <si>
    <t>1st, 01/06/2022 - 31/05/2032</t>
  </si>
  <si>
    <t>1st, 07/07/2022 - 06/07/2029</t>
  </si>
  <si>
    <t>1st, 08/12/2021 - 07/12/2031</t>
  </si>
  <si>
    <t>Shunping MSW Incineration and Power Generation PPP Project</t>
  </si>
  <si>
    <t>1st, 13/05/2022 - 12/05/2032</t>
  </si>
  <si>
    <t>Yangjiang MSW incineration and power generation</t>
  </si>
  <si>
    <t>1st, 17/01/2023 - 16/01/2030</t>
  </si>
  <si>
    <t>1st, 15/04/2021 - 14/04/2028</t>
  </si>
  <si>
    <t>Soc Son waste to power plant project</t>
  </si>
  <si>
    <t>1st, 24/07/2022 - 23/07/2029</t>
  </si>
  <si>
    <t>Doxaco WTE project</t>
  </si>
  <si>
    <t>Seraphin WTE project (not yet been calculated)</t>
  </si>
  <si>
    <t>Baseline Emissions</t>
  </si>
  <si>
    <t>Data / Parameter</t>
  </si>
  <si>
    <t>Baseline emissions of methane from the SWDS in year y</t>
  </si>
  <si>
    <t>BE(CH4)</t>
  </si>
  <si>
    <t>Total amount of waste disposed 
(t)</t>
  </si>
  <si>
    <t>Proportion of each component of MSW (by Sample measurements)
(%)</t>
  </si>
  <si>
    <t>Baseline methane emissions from anaerobic treatment of the wastewater</t>
  </si>
  <si>
    <t>BE(WW)</t>
  </si>
  <si>
    <t xml:space="preserve">Baseline emissions associated with energy generation </t>
  </si>
  <si>
    <t>BE(EN)</t>
  </si>
  <si>
    <t>Baseline emissions associated with electricity generation</t>
  </si>
  <si>
    <t>Electricity generated 
(MWh)</t>
  </si>
  <si>
    <t>Baseline emissions associated with heat generation</t>
  </si>
  <si>
    <t>Baseline emissions associated with natural gas use</t>
  </si>
  <si>
    <t>BE(NG)</t>
  </si>
  <si>
    <t>Discount factor to account for the rate of compliance of a regulatory requirement</t>
  </si>
  <si>
    <t>RATE(compliance)</t>
  </si>
  <si>
    <t>Project Emissions</t>
  </si>
  <si>
    <t>Project emissions from composting or co-composting</t>
  </si>
  <si>
    <t>PE(COMP)</t>
  </si>
  <si>
    <t>Project emissions from incineration</t>
  </si>
  <si>
    <t>PE(INC)</t>
  </si>
  <si>
    <t>Project emissions from combustion within the project boundary of fossil waste associated with incineration</t>
  </si>
  <si>
    <t>Project emissions of CO2 from combustion within the project boundary</t>
  </si>
  <si>
    <t>Quantity of fresh waste or RDF/SB fed into combustor 
(t)</t>
  </si>
  <si>
    <t>Combustor used in the project activity: gasifier, incinerator
(type)</t>
  </si>
  <si>
    <t>Project emissions of CH4 and N2O from combustion within the project boundary</t>
  </si>
  <si>
    <t>Quantity of fresh waste or RDF/SB fed into combustor
(t)</t>
  </si>
  <si>
    <t xml:space="preserve"> Emissions from run-off wastewater management</t>
  </si>
  <si>
    <t>Amount of wastewater discharge generated by the project activity and treated anaerobically
(m3)</t>
  </si>
  <si>
    <t>COD of the wastewater discharge generated
(tCOD/m3) or (mg/L)</t>
  </si>
  <si>
    <t>Project emissions from electricity consumption associated with incineration year</t>
  </si>
  <si>
    <t>Electricity consumed
(MWh)</t>
  </si>
  <si>
    <t>Project emissions from fossil fuel consumption associated with incineration</t>
  </si>
  <si>
    <t>Quantity of fuel type combusted 
(t) or (l)</t>
  </si>
  <si>
    <t>Project emissions from the wastewater treatment associated with incineration</t>
  </si>
  <si>
    <t>Project emissions from gasification</t>
  </si>
  <si>
    <t>PE(GAS)</t>
  </si>
  <si>
    <t>Project emissions associated with RDF/SB</t>
  </si>
  <si>
    <t>PE(RDF)</t>
  </si>
  <si>
    <t>Project emissions from anaerobic digestion and biogas combustion</t>
  </si>
  <si>
    <t>PE(AD)</t>
  </si>
  <si>
    <t>Leakage Emissions</t>
  </si>
  <si>
    <t>Emissions are associated with composting/co-composting, anaerobic digestion and the use of RDF/SB that is exported outside the project boundary</t>
  </si>
  <si>
    <t>Turn #</t>
  </si>
  <si>
    <t>Date</t>
  </si>
  <si>
    <t>User Request</t>
  </si>
  <si>
    <t>Action Taken</t>
  </si>
  <si>
    <t>Details</t>
  </si>
  <si>
    <t>Outcome</t>
  </si>
  <si>
    <t>User shared screenshot of a success fee carbon model (price/ton × success fee % × tons, risk-adjusted 2026–2030) and Excel of registered MSW WTE plants. Asked if MSW data could be used to build a similar model.</t>
  </si>
  <si>
    <t>Read MSW Excel file, searched for VCS ACM0022 market pricing, built full MSW Success Fee Model on Sheet1 matching screenshot structure.</t>
  </si>
  <si>
    <t>10 projects from MSW file loaded. Carbon price set to $6/ton (from Ecosystem Marketplace 2025 avg for reduction credits; highlighted yellow). Fee % and prob adj default to 10% and 50% (blue inputs). Crediting periods used to zero out inactive years. Doxaco/Seraphin set to 0 (missing data). Legend, crediting period ref table, and color coding added.</t>
  </si>
  <si>
    <t>MSW Success Fee Model complete on Sheet1. User should update blue input cells (D:F columns) with actual project-specific prices, fees, and probabilities from group calls.</t>
  </si>
  <si>
    <t>User uploaded Allotrope-ViOT_DOXACO Project_Calculation.xlsx as additional context for the Doxaco WTE project row in the MSW model.</t>
  </si>
  <si>
    <t>Read and analyzed Doxaco calculation file (3 sheets: ACM0022, Survey, Calculation). Extracted per-year net ER figures. Updated Doxaco row in Sheet1 model with findings. Added key findings callout box.</t>
  </si>
  <si>
    <t>Critical finding: Doxaco uses ACM0022 decay model where net ER = avoided landfill methane (grows exponentially) minus incineration PE (constant ~78k/yr). Net ER is NEGATIVE in Years 1-5. With 2026 start, all years 2026-2030 are negative. Total 10-yr VCUs = 367,754 tCO2e. 10-yr average = 36,775/yr (matches original MSW file). Year-by-year ER: Yr1:-44k, Yr2:-40k, Yr3:-33k, Yr4:-24k, Yr5:-10k, Yr6:+10k, Yr7:+39k, Yr8:+82k, Yr9:+146k, Yr10:+240k.</t>
  </si>
  <si>
    <t>Doxaco row updated in Sheet1 with $0 fee revenue for 2026-2030 (all negative net ER assuming 2026 start). Cell notes document per-year ER values. Key finding callout box added at bottom of sheet. User should confirm actual project start date with project team.</t>
  </si>
  <si>
    <t>User asked for assessment of extending model to 2035 and whether we have enough data.</t>
  </si>
  <si>
    <t>Analyzed all 10 projects for 2031-2035 data coverage. Built 2031-2035 extension columns (M-Q) with confirmed data only. Added green header band labeling extended period. Added R column for full 2026-2035 total.</t>
  </si>
  <si>
    <t>Coverage: Liuzhou &amp; Shunping active through May 2032 (confirmed). Qixian active through Dec 2031. Doxaco turns positive in 2031 (Yr6 = +10,174 rising to +239,745 by 2035, from calc file). 7 other projects expired pre-2031 with no renewal data — set to 0. Seraphin still no data. Decision: conservative approach (no assumed renewals) per user preference.</t>
  </si>
  <si>
    <t>2031-2035 columns added to Sheet1. Extended total column R added. Key limitation: most value comes from Doxaco in 2031-2035 as other projects expire. Model clearly distinguishes confirmed vs. expired periods.</t>
  </si>
  <si>
    <t>User shared screenshot of a success fee model (per-client price/ton, fee%, probability, yearly tons 2026-2030) and asked to review the Model sheet against it. Wants to know if similar model can be built for MADA and VN projects, and where to find estimates from prior group call presentations.</t>
  </si>
  <si>
    <t>Reviewed Model sheet structure, formulas, and data against screenshot. Compared column layout, formula logic, per-project assumptions, and identified structural gaps.</t>
  </si>
  <si>
    <t>Model sheet matches screenshot framework (price × fee% × probability × tons per year). Key differences: screenshot has per-client unique assumptions ($3-$150/ton, 3-17% fee, 25-90% probability) while Model uses uniform $6/ton, 10% fee, 50% probability. Screenshot clients appear to be CDR/carbon removal projects, not MSW WTE. VN projects (Soc Son, Doxaco, Seraphin) are present but Doxaco shows $0 revenue 2026-2030 (negative net ER). No MADA projects exist in workbook.</t>
  </si>
  <si>
    <t>Model structure is sound and matches screenshot format. To fulfill request: (1) MADA project data is completely missing — user needs to source estimates from group call presentations. (2) Per-project pricing/fee/probability differentiation needed to match screenshot approach. (3) Seraphin still has no ER data. User should provide project-specific inputs to flesh out model.</t>
  </si>
  <si>
    <t>User asked how to resolve the per-project estimates gap — the Model uses uniform assumptions ($6/ton, 10% fee, 50% probability) while the screenshot shows unique values per client.</t>
  </si>
  <si>
    <t>Provided detailed guidance on sourcing each input type: (1) Carbon price — check for pre-agreed buyer pricing vs. market estimates, (2) Success fee % — contractual/commercial input from engagement letters, (3) Probability — proposed a risk scoring framework based on registration status, crediting period, country risk, track record, and ER certainty, (4) Tonnage ramps — check project delivery schedules.</t>
  </si>
  <si>
    <t>Explained that all four input categories are internal business inputs, not public data. Offered a rough probability framework (60-75% for registered China, 40-55% for Vietnam/expiring, 20-30% for unregistered). Noted model structure already supports per-project inputs — columns D, E, F are blue input cells. Offered to pre-populate suggested probabilities as a starting point.</t>
  </si>
  <si>
    <t>User now has a clear roadmap for sourcing per-project data. Awaiting user decision on whether to pre-populate suggested probability values or wait for team inputs.</t>
  </si>
  <si>
    <t>User asked to pre-populate per-project estimates with notes for team sharing and discussion.</t>
  </si>
  <si>
    <t>Updated all three input columns (D, E, F) for rows 11-20 with differentiated per-project values and detailed rationale notes on every cell. Updated key assumptions header notes.</t>
  </si>
  <si>
    <t>Carbon Price (Col D): Differentiated $4-$7/ton based on plant size, crediting runway, country, volume. Yingkou lowest ($4, expiring soon), Soc Son &amp; Doxaco highest ($7, Vietnam premium + volume). Fee % (Col E): Kept 10% for most China projects; lowered to 8% for Doxaco &amp; Seraphin (delayed revenue, early-stage). Probability (Col F): Ranged 20%-70% based on scoring: registered+China = 60-70%, Vietnam = 55-60%, unregistered = 20-25%. Every cell has 'SUGGESTED — REVIEW/CONFIRM/DISCUSS' header note with full rationale. Updated A8 instruction to mention hover-for-notes.</t>
  </si>
  <si>
    <t>Model now shows differentiated per-project assumptions with audit trail in cell notes. New 2026-2030 total: $2.23M (was $1.84M with uniform inputs). Ready for team review — each note includes specific questions to resolve and screenshot comparables for calibration.</t>
  </si>
  <si>
    <t>User clarified: only Doxaco and Seraphin have fee engagement. The 8 China projects + Soc Son are reference/context only.</t>
  </si>
  <si>
    <t>Restructured the model into two clear sections: (1) Reference Portfolio rows 13-20, greyed out with no E/F inputs; (2) Our Clients rows 22-23 with active fee inputs. Added colour-coded section headers. Fixed TOTAL and Tons rows to only sum rows 22-23. Cleared all #VALUE! errors.</t>
  </si>
  <si>
    <t>Reference rows (13-20): D/E/F greyed italic, year revenue cells zeroed/greyed, E/F show 'N/A'. Our Clients section header in cyan (#00B0F0). Reference section header in grey. TOTAL row renamed 'OUR CLIENTS TOTAL (Doxaco + Seraphin)' — sums rows 22-23 only. Tons row scoped to rows 22-23 with clean SUMPRODUCT formulas. No #VALUE! errors remain.</t>
  </si>
  <si>
    <t>Model now clearly separates reference data from active fee engagements. Doxaco: $0 revenue 2026-2030 (negative ERs), $72.5K total 2031-2035. Seraphin: $0 (no ER data). Total client revenue pending Seraphin data and confirmed start dates.</t>
  </si>
  <si>
    <t>User asked to restore market-rate revenue figures for the 8 reference projects (China + Soc Son) with notes, for benchmarking context.</t>
  </si>
  <si>
    <t>Restored E/F inputs (10% fee, 50% probability) for rows 13-20 as illustrative market-rate assumptions, styled grey/italic. Restored year-column formulas (C*D*E*F) for all active years per crediting period, with 0s and notes for expired years. All cells have hover notes marked REFERENCE ONLY.</t>
  </si>
  <si>
    <t>Reference rows use: D = project-specific market price ($4-$7/ton), E = 10% (market-rate illustrative), F = 50% (market-rate illustrative). Crediting periods preserved: Linfen/Pingnan/Soc Son through 2029; Qixian through 2031; Liuzhou/Shunping through 2032; Yangjiang through Jan 2030; Yingkou through Apr 2028. All cells styled grey italic to distinguish from active client rows.</t>
  </si>
  <si>
    <t>Reference portfolio now shows illustrative market-rate revenue for benchmarking. 2026-2030 reference totals: Linfen $107K, Liuzhou $349K, Pingnan $112K, Qixian $68K, Shunping $76K, Yangjiang $153K, Yingkou $147K, Soc Son $762K. Our clients total (Doxaco+Seraphin): $0 in 2026-2030, $72.5K in 2031-2035.</t>
  </si>
  <si>
    <t>User provided internal estimate: Seraphin ~300,000 tCO2e/yr average annual ER. Plant entered operation March 2025. Asked to populate row to extent possible.</t>
  </si>
  <si>
    <t>Updated Seraphin row (C23:R23) with 300k flat ER estimate, $6/ton price, 8% fee, 25% probability. Applied orange font to distinguish estimated values. Added year-by-year formulas G23:Q23 for all years 2026-2035. Updated A23 and C23 with detailed caveat notes.</t>
  </si>
  <si>
    <t>Key caveats embedded in notes: (1) 300k is internal rough estimate, not from ACM0022 calculation; (2) ACM0022 likely produces negative net ER in early years (Doxaco precedent) — flat estimate may overstate near-term credits; (3) 2035 may fall outside 10-yr crediting period if started Mar 2025; (4) not yet VCS registered. Orange font used for estimated cells to signal uncertainty. Revenue formulas: G-Q23 = C23*D23*E23*F23 = $36,000/yr each year.</t>
  </si>
  <si>
    <t>New client totals (Doxaco + Seraphin): 2026-2030 = $180K/yr each year ($900K total), growing to $37-70K/yr in 2031-2035 as Doxaco ramps up. 10-year total (R24) = $612K. Tons row (R26) = 880K risk-adjusted. Caveats clearly noted — awaiting formal ACM0022 calculation and VCS registration.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</si>
</sst>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28">
    <font>
      <sz val="11.0"/>
      <color theme="1"/>
      <name val="Aptos Narrow"/>
      <scheme val="minor"/>
    </font>
    <font>
      <b/>
      <sz val="14.0"/>
      <color rgb="FFFFFFFF"/>
      <name val="Aptos Narrow"/>
    </font>
    <font>
      <i/>
      <sz val="9.0"/>
      <color rgb="FF595959"/>
      <name val="Aptos Narrow"/>
    </font>
    <font>
      <b/>
      <sz val="11.0"/>
      <color rgb="FF1F4E79"/>
      <name val="Aptos Narrow"/>
    </font>
    <font>
      <sz val="11.0"/>
      <color theme="1"/>
      <name val="Aptos Narrow"/>
    </font>
    <font>
      <sz val="11.0"/>
      <color rgb="FF000000"/>
      <name val="Aptos Narrow"/>
    </font>
    <font>
      <sz val="11.0"/>
      <color rgb="FF0000FF"/>
      <name val="Aptos Narrow"/>
    </font>
    <font>
      <b/>
      <sz val="8.0"/>
      <color rgb="FF375623"/>
      <name val="Aptos Narrow"/>
    </font>
    <font>
      <b/>
      <sz val="9.0"/>
      <color rgb="FFFFFFFF"/>
      <name val="Aptos Narrow"/>
    </font>
    <font>
      <b/>
      <sz val="9.0"/>
      <color rgb="FFFFFFFF"/>
      <name val="Arial"/>
    </font>
    <font>
      <b/>
      <i/>
      <sz val="9.0"/>
      <color rgb="FF595959"/>
      <name val="Aptos Narrow"/>
    </font>
    <font>
      <sz val="11.0"/>
      <color rgb="FF595959"/>
      <name val="Aptos Narrow"/>
    </font>
    <font>
      <i/>
      <sz val="11.0"/>
      <color rgb="FFAAAAAA"/>
      <name val="Aptos Narrow"/>
    </font>
    <font>
      <color theme="1"/>
      <name val="Aptos Narrow"/>
      <scheme val="minor"/>
    </font>
    <font>
      <sz val="11.0"/>
      <color rgb="FF0000FF"/>
      <name val="Arial"/>
    </font>
    <font>
      <sz val="11.0"/>
      <color rgb="FFFF0000"/>
      <name val="Aptos Narrow"/>
    </font>
    <font>
      <sz val="11.0"/>
      <color rgb="FFFF6600"/>
      <name val="Aptos Narrow"/>
    </font>
    <font>
      <b/>
      <sz val="11.0"/>
      <color rgb="FFFFFFFF"/>
      <name val="Aptos Narrow"/>
    </font>
    <font>
      <b/>
      <sz val="11.0"/>
      <color theme="1"/>
      <name val="Aptos Narrow"/>
    </font>
    <font>
      <b/>
      <sz val="11.0"/>
      <color rgb="FFC55A11"/>
      <name val="Aptos Narrow"/>
    </font>
    <font>
      <b/>
      <sz val="9.0"/>
      <color theme="1"/>
      <name val="Aptos Narrow"/>
    </font>
    <font>
      <sz val="10.0"/>
      <color theme="1"/>
      <name val="Aptos Narrow"/>
    </font>
    <font>
      <sz val="9.0"/>
      <color theme="1"/>
      <name val="Aptos Narrow"/>
    </font>
    <font>
      <u/>
      <sz val="9.0"/>
      <color rgb="FF0000FF"/>
      <name val="Arial"/>
    </font>
    <font>
      <sz val="9.0"/>
      <color rgb="FFFF0000"/>
      <name val="Aptos Narrow"/>
    </font>
    <font>
      <b/>
      <sz val="11.0"/>
      <color theme="1"/>
      <name val="Arial"/>
    </font>
    <font>
      <sz val="11.0"/>
      <color theme="1"/>
      <name val="Arial"/>
    </font>
    <font>
      <sz val="11.0"/>
      <color rgb="FFFF0000"/>
      <name val="Arial"/>
    </font>
  </fonts>
  <fills count="12">
    <fill>
      <patternFill patternType="none"/>
    </fill>
    <fill>
      <patternFill patternType="lightGray"/>
    </fill>
    <fill>
      <patternFill patternType="solid">
        <fgColor rgb="FF1F4E79"/>
        <bgColor rgb="FF1F4E79"/>
      </patternFill>
    </fill>
    <fill>
      <patternFill patternType="solid">
        <fgColor rgb="FFD6E4F0"/>
        <bgColor rgb="FFD6E4F0"/>
      </patternFill>
    </fill>
    <fill>
      <patternFill patternType="solid">
        <fgColor rgb="FFFFFF00"/>
        <bgColor rgb="FFFFFF00"/>
      </patternFill>
    </fill>
    <fill>
      <patternFill patternType="solid">
        <fgColor rgb="FFE2EFDA"/>
        <bgColor rgb="FFE2EFDA"/>
      </patternFill>
    </fill>
    <fill>
      <patternFill patternType="solid">
        <fgColor rgb="FF00B0F0"/>
        <bgColor rgb="FF00B0F0"/>
      </patternFill>
    </fill>
    <fill>
      <patternFill patternType="solid">
        <fgColor rgb="FF375623"/>
        <bgColor rgb="FF375623"/>
      </patternFill>
    </fill>
    <fill>
      <patternFill patternType="solid">
        <fgColor rgb="FFF2F2F2"/>
        <bgColor rgb="FFF2F2F2"/>
      </patternFill>
    </fill>
    <fill>
      <patternFill patternType="solid">
        <fgColor rgb="FFBDD7EE"/>
        <bgColor rgb="FFBDD7EE"/>
      </patternFill>
    </fill>
    <fill>
      <patternFill patternType="solid">
        <fgColor rgb="FFFCE4D6"/>
        <bgColor rgb="FFFCE4D6"/>
      </patternFill>
    </fill>
    <fill>
      <patternFill patternType="solid">
        <fgColor rgb="FF92D050"/>
        <bgColor rgb="FF92D050"/>
      </patternFill>
    </fill>
  </fills>
  <borders count="2">
    <border/>
    <border>
      <left/>
      <right/>
      <top/>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2" fontId="1" numFmtId="0" xfId="0" applyBorder="1" applyFill="1" applyFont="1"/>
    <xf borderId="0" fillId="0" fontId="2" numFmtId="0" xfId="0" applyFont="1"/>
    <xf borderId="1" fillId="3" fontId="3" numFmtId="0" xfId="0" applyBorder="1" applyFill="1" applyFont="1"/>
    <xf borderId="1" fillId="3" fontId="4" numFmtId="0" xfId="0" applyBorder="1" applyFont="1"/>
    <xf borderId="0" fillId="0" fontId="5" numFmtId="0" xfId="0" applyFont="1"/>
    <xf borderId="1" fillId="4" fontId="6" numFmtId="164" xfId="0" applyBorder="1" applyFill="1" applyFont="1" applyNumberFormat="1"/>
    <xf borderId="1" fillId="4" fontId="6" numFmtId="9" xfId="0" applyBorder="1" applyFont="1" applyNumberFormat="1"/>
    <xf borderId="1" fillId="5" fontId="7" numFmtId="0" xfId="0" applyAlignment="1" applyBorder="1" applyFill="1" applyFont="1">
      <alignment horizontal="center"/>
    </xf>
    <xf borderId="1" fillId="2" fontId="8" numFmtId="0" xfId="0" applyBorder="1" applyFont="1"/>
    <xf borderId="1" fillId="6" fontId="8" numFmtId="0" xfId="0" applyBorder="1" applyFill="1" applyFont="1"/>
    <xf borderId="1" fillId="2" fontId="9" numFmtId="0" xfId="0" applyAlignment="1" applyBorder="1" applyFont="1">
      <alignment readingOrder="0"/>
    </xf>
    <xf borderId="1" fillId="2" fontId="8" numFmtId="0" xfId="0" applyAlignment="1" applyBorder="1" applyFont="1">
      <alignment horizontal="right"/>
    </xf>
    <xf borderId="1" fillId="7" fontId="8" numFmtId="0" xfId="0" applyAlignment="1" applyBorder="1" applyFill="1" applyFont="1">
      <alignment horizontal="right"/>
    </xf>
    <xf borderId="1" fillId="8" fontId="10" numFmtId="0" xfId="0" applyBorder="1" applyFill="1" applyFont="1"/>
    <xf borderId="0" fillId="0" fontId="11" numFmtId="0" xfId="0" applyFont="1"/>
    <xf borderId="0" fillId="0" fontId="11" numFmtId="3" xfId="0" applyFont="1" applyNumberFormat="1"/>
    <xf borderId="0" fillId="0" fontId="12" numFmtId="164" xfId="0" applyFont="1" applyNumberFormat="1"/>
    <xf borderId="0" fillId="0" fontId="12" numFmtId="9" xfId="0" applyFont="1" applyNumberFormat="1"/>
    <xf borderId="0" fillId="0" fontId="12" numFmtId="3" xfId="0" applyFont="1" applyNumberFormat="1"/>
    <xf borderId="0" fillId="0" fontId="13" numFmtId="0" xfId="0" applyFont="1"/>
    <xf borderId="0" fillId="0" fontId="4" numFmtId="3" xfId="0" applyFont="1" applyNumberFormat="1"/>
    <xf borderId="0" fillId="0" fontId="6" numFmtId="164" xfId="0" applyFont="1" applyNumberFormat="1"/>
    <xf borderId="0" fillId="0" fontId="14" numFmtId="9" xfId="0" applyAlignment="1" applyFont="1" applyNumberFormat="1">
      <alignment readingOrder="0"/>
    </xf>
    <xf borderId="0" fillId="0" fontId="6" numFmtId="9" xfId="0" applyFont="1" applyNumberFormat="1"/>
    <xf borderId="0" fillId="0" fontId="15" numFmtId="3" xfId="0" applyFont="1" applyNumberFormat="1"/>
    <xf borderId="0" fillId="0" fontId="16" numFmtId="3" xfId="0" applyFont="1" applyNumberFormat="1"/>
    <xf borderId="1" fillId="2" fontId="17" numFmtId="0" xfId="0" applyBorder="1" applyFont="1"/>
    <xf borderId="1" fillId="2" fontId="17" numFmtId="3" xfId="0" applyBorder="1" applyFont="1" applyNumberFormat="1"/>
    <xf borderId="1" fillId="2" fontId="4" numFmtId="0" xfId="0" applyBorder="1" applyFont="1"/>
    <xf borderId="1" fillId="2" fontId="17" numFmtId="164" xfId="0" applyBorder="1" applyFont="1" applyNumberFormat="1"/>
    <xf borderId="0" fillId="0" fontId="18" numFmtId="0" xfId="0" applyFont="1"/>
    <xf borderId="0" fillId="0" fontId="18" numFmtId="3" xfId="0" applyFont="1" applyNumberFormat="1"/>
    <xf borderId="1" fillId="9" fontId="18" numFmtId="0" xfId="0" applyBorder="1" applyFill="1" applyFont="1"/>
    <xf borderId="0" fillId="0" fontId="6" numFmtId="0" xfId="0" applyFont="1"/>
    <xf borderId="1" fillId="4" fontId="4" numFmtId="0" xfId="0" applyBorder="1" applyFont="1"/>
    <xf borderId="1" fillId="10" fontId="19" numFmtId="0" xfId="0" applyBorder="1" applyFill="1" applyFont="1"/>
    <xf borderId="1" fillId="10" fontId="4" numFmtId="0" xfId="0" applyBorder="1" applyFont="1"/>
    <xf borderId="0" fillId="0" fontId="20" numFmtId="0" xfId="0" applyAlignment="1" applyFont="1">
      <alignment shrinkToFit="0" vertical="top" wrapText="1"/>
    </xf>
    <xf borderId="0" fillId="0" fontId="21" numFmtId="0" xfId="0" applyAlignment="1" applyFont="1">
      <alignment shrinkToFit="0" vertical="top" wrapText="1"/>
    </xf>
    <xf borderId="0" fillId="0" fontId="22" numFmtId="0" xfId="0" applyAlignment="1" applyFont="1">
      <alignment shrinkToFit="0" vertical="top" wrapText="1"/>
    </xf>
    <xf borderId="0" fillId="0" fontId="22" numFmtId="3" xfId="0" applyAlignment="1" applyFont="1" applyNumberFormat="1">
      <alignment shrinkToFit="0" vertical="top" wrapText="1"/>
    </xf>
    <xf borderId="0" fillId="0" fontId="23" numFmtId="0" xfId="0" applyAlignment="1" applyFont="1">
      <alignment shrinkToFit="0" vertical="top" wrapText="1"/>
    </xf>
    <xf borderId="1" fillId="4" fontId="22" numFmtId="0" xfId="0" applyAlignment="1" applyBorder="1" applyFont="1">
      <alignment shrinkToFit="0" vertical="top" wrapText="1"/>
    </xf>
    <xf borderId="1" fillId="4" fontId="22" numFmtId="3" xfId="0" applyAlignment="1" applyBorder="1" applyFont="1" applyNumberFormat="1">
      <alignment shrinkToFit="0" vertical="top" wrapText="1"/>
    </xf>
    <xf borderId="1" fillId="4" fontId="24" numFmtId="0" xfId="0" applyAlignment="1" applyBorder="1" applyFont="1">
      <alignment shrinkToFit="0" vertical="top" wrapText="1"/>
    </xf>
    <xf borderId="1" fillId="4" fontId="21" numFmtId="0" xfId="0" applyAlignment="1" applyBorder="1" applyFont="1">
      <alignment shrinkToFit="0" vertical="top" wrapText="1"/>
    </xf>
    <xf borderId="1" fillId="4" fontId="25" numFmtId="0" xfId="0" applyAlignment="1" applyBorder="1" applyFont="1">
      <alignment horizontal="left" shrinkToFit="0" vertical="top" wrapText="1"/>
    </xf>
    <xf borderId="1" fillId="4" fontId="26" numFmtId="0" xfId="0" applyAlignment="1" applyBorder="1" applyFont="1">
      <alignment horizontal="left" shrinkToFit="0" vertical="top" wrapText="1"/>
    </xf>
    <xf borderId="0" fillId="0" fontId="26" numFmtId="0" xfId="0" applyAlignment="1" applyFont="1">
      <alignment horizontal="left" shrinkToFit="0" vertical="top" wrapText="1"/>
    </xf>
    <xf borderId="0" fillId="0" fontId="27" numFmtId="0" xfId="0" applyAlignment="1" applyFont="1">
      <alignment horizontal="left" shrinkToFit="0" vertical="top" wrapText="1"/>
    </xf>
    <xf borderId="1" fillId="6" fontId="25" numFmtId="0" xfId="0" applyAlignment="1" applyBorder="1" applyFont="1">
      <alignment horizontal="left" shrinkToFit="0" vertical="top" wrapText="1"/>
    </xf>
    <xf borderId="1" fillId="6" fontId="26" numFmtId="0" xfId="0" applyAlignment="1" applyBorder="1" applyFont="1">
      <alignment horizontal="left" shrinkToFit="0" vertical="top" wrapText="1"/>
    </xf>
    <xf borderId="1" fillId="11" fontId="25" numFmtId="0" xfId="0" applyAlignment="1" applyBorder="1" applyFill="1" applyFont="1">
      <alignment horizontal="left" shrinkToFit="0" vertical="top" wrapText="1"/>
    </xf>
    <xf borderId="1" fillId="11" fontId="26" numFmtId="0" xfId="0" applyAlignment="1" applyBorder="1" applyFont="1">
      <alignment horizontal="left" shrinkToFit="0" vertical="top" wrapText="1"/>
    </xf>
    <xf borderId="0" fillId="0" fontId="4" numFmtId="14" xfId="0" applyFont="1" applyNumberForma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registry.verra.org/app/projectDetail/VCS/4818" TargetMode="External"/><Relationship Id="rId2" Type="http://schemas.openxmlformats.org/officeDocument/2006/relationships/hyperlink" Target="https://registry.verra.org/app/projectDetail/VCS/4963" TargetMode="External"/><Relationship Id="rId3" Type="http://schemas.openxmlformats.org/officeDocument/2006/relationships/hyperlink" Target="https://registry.verra.org/app/projectDetail/VCS/5093" TargetMode="External"/><Relationship Id="rId4" Type="http://schemas.openxmlformats.org/officeDocument/2006/relationships/hyperlink" Target="https://registry.verra.org/app/projectDetail/VCS/4492" TargetMode="External"/><Relationship Id="rId9" Type="http://schemas.openxmlformats.org/officeDocument/2006/relationships/drawing" Target="../drawings/drawing2.xml"/><Relationship Id="rId5" Type="http://schemas.openxmlformats.org/officeDocument/2006/relationships/hyperlink" Target="https://registry.verra.org/app/projectDetail/VCS/4928" TargetMode="External"/><Relationship Id="rId6" Type="http://schemas.openxmlformats.org/officeDocument/2006/relationships/hyperlink" Target="https://registry.verra.org/app/projectDetail/VCS/4992" TargetMode="External"/><Relationship Id="rId7" Type="http://schemas.openxmlformats.org/officeDocument/2006/relationships/hyperlink" Target="https://registry.verra.org/app/projectDetail/VCS/3225" TargetMode="External"/><Relationship Id="rId8" Type="http://schemas.openxmlformats.org/officeDocument/2006/relationships/hyperlink" Target="https://registry.verra.org/app/projectDetail/VCS/2567"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0.0"/>
    <col customWidth="1" min="2" max="2" width="11.88"/>
    <col customWidth="1" min="3" max="3" width="15.5"/>
    <col customWidth="1" min="4" max="4" width="13.63"/>
    <col customWidth="1" min="5" max="6" width="11.88"/>
    <col customWidth="1" min="7" max="17" width="13.13"/>
    <col customWidth="1" min="18" max="18" width="18.13"/>
    <col customWidth="1" min="19" max="26" width="8.63"/>
  </cols>
  <sheetData>
    <row r="1" ht="14.25" customHeight="1">
      <c r="A1" s="1" t="s">
        <v>0</v>
      </c>
    </row>
    <row r="2" ht="14.25" customHeight="1">
      <c r="A2" s="2" t="s">
        <v>1</v>
      </c>
    </row>
    <row r="3" ht="14.25" customHeight="1"/>
    <row r="4" ht="14.25" customHeight="1">
      <c r="A4" s="3" t="s">
        <v>2</v>
      </c>
      <c r="B4" s="4"/>
    </row>
    <row r="5" ht="14.25" customHeight="1">
      <c r="A5" s="5" t="s">
        <v>3</v>
      </c>
      <c r="B5" s="6">
        <v>6.0</v>
      </c>
    </row>
    <row r="6" ht="14.25" customHeight="1">
      <c r="A6" s="5" t="s">
        <v>4</v>
      </c>
      <c r="B6" s="7">
        <v>0.1</v>
      </c>
    </row>
    <row r="7" ht="14.25" customHeight="1">
      <c r="A7" s="5" t="s">
        <v>5</v>
      </c>
      <c r="B7" s="7">
        <v>0.5</v>
      </c>
    </row>
    <row r="8" ht="14.25" customHeight="1">
      <c r="A8" s="2" t="s">
        <v>6</v>
      </c>
    </row>
    <row r="9" ht="14.25" customHeight="1">
      <c r="M9" s="8" t="s">
        <v>7</v>
      </c>
    </row>
    <row r="10" ht="14.25" customHeight="1">
      <c r="A10" s="9" t="s">
        <v>8</v>
      </c>
      <c r="B10" s="9" t="s">
        <v>9</v>
      </c>
      <c r="C10" s="9" t="s">
        <v>10</v>
      </c>
      <c r="D10" s="10" t="s">
        <v>11</v>
      </c>
      <c r="E10" s="11" t="s">
        <v>12</v>
      </c>
      <c r="F10" s="9" t="s">
        <v>13</v>
      </c>
      <c r="G10" s="12">
        <v>2026.0</v>
      </c>
      <c r="H10" s="12">
        <v>2027.0</v>
      </c>
      <c r="I10" s="12">
        <v>2028.0</v>
      </c>
      <c r="J10" s="12">
        <v>2029.0</v>
      </c>
      <c r="K10" s="12">
        <v>2030.0</v>
      </c>
      <c r="L10" s="12" t="s">
        <v>14</v>
      </c>
      <c r="M10" s="13">
        <v>2031.0</v>
      </c>
      <c r="N10" s="13">
        <v>2032.0</v>
      </c>
      <c r="O10" s="13">
        <v>2033.0</v>
      </c>
      <c r="P10" s="13">
        <v>2034.0</v>
      </c>
      <c r="Q10" s="13">
        <v>2035.0</v>
      </c>
      <c r="R10" s="12" t="s">
        <v>15</v>
      </c>
    </row>
    <row r="11" ht="14.25" customHeight="1">
      <c r="A11" s="14" t="s">
        <v>16</v>
      </c>
      <c r="B11" s="9"/>
      <c r="C11" s="9"/>
      <c r="D11" s="10"/>
      <c r="E11" s="9"/>
      <c r="F11" s="9"/>
      <c r="G11" s="12"/>
      <c r="H11" s="12"/>
      <c r="I11" s="12"/>
      <c r="J11" s="12"/>
      <c r="K11" s="12"/>
      <c r="L11" s="12"/>
      <c r="M11" s="13"/>
      <c r="N11" s="13"/>
      <c r="O11" s="13"/>
      <c r="P11" s="13"/>
      <c r="Q11" s="13"/>
      <c r="R11" s="12"/>
    </row>
    <row r="12" ht="14.25" customHeight="1">
      <c r="A12" s="9"/>
      <c r="B12" s="9"/>
      <c r="C12" s="9"/>
      <c r="D12" s="10"/>
      <c r="E12" s="9"/>
      <c r="F12" s="9"/>
      <c r="G12" s="12"/>
      <c r="H12" s="12"/>
      <c r="I12" s="12"/>
      <c r="J12" s="12"/>
      <c r="K12" s="12"/>
      <c r="L12" s="12"/>
      <c r="M12" s="13"/>
      <c r="N12" s="13"/>
      <c r="O12" s="13"/>
      <c r="P12" s="13"/>
      <c r="Q12" s="13"/>
      <c r="R12" s="12"/>
    </row>
    <row r="13" ht="14.25" customHeight="1">
      <c r="A13" s="15" t="s">
        <v>17</v>
      </c>
      <c r="B13" s="15" t="s">
        <v>18</v>
      </c>
      <c r="C13" s="16">
        <v>107358.0</v>
      </c>
      <c r="D13" s="17">
        <v>5.0</v>
      </c>
      <c r="E13" s="18">
        <v>0.1</v>
      </c>
      <c r="F13" s="18">
        <v>0.5</v>
      </c>
      <c r="G13" s="19">
        <f t="shared" ref="G13:G20" si="1">C13*D13*E13*F13</f>
        <v>26839.5</v>
      </c>
      <c r="H13" s="19">
        <f t="shared" ref="H13:H20" si="2">C13*D13*E13*F13</f>
        <v>26839.5</v>
      </c>
      <c r="I13" s="19">
        <f t="shared" ref="I13:I20" si="3">C13*D13*E13*F13</f>
        <v>26839.5</v>
      </c>
      <c r="J13" s="19">
        <f t="shared" ref="J13:J18" si="4">C13*D13*E13*F13</f>
        <v>26839.5</v>
      </c>
      <c r="K13" s="19">
        <v>0.0</v>
      </c>
      <c r="L13" s="19">
        <f t="shared" ref="L13:L20" si="5">SUM(G13:K13)</f>
        <v>107358</v>
      </c>
      <c r="M13" s="19">
        <v>0.0</v>
      </c>
      <c r="N13" s="19">
        <v>0.0</v>
      </c>
      <c r="O13" s="19">
        <v>0.0</v>
      </c>
      <c r="P13" s="19">
        <v>0.0</v>
      </c>
      <c r="Q13" s="19">
        <v>0.0</v>
      </c>
      <c r="R13" s="19">
        <f t="shared" ref="R13:R20" si="6">SUM(G13:Q13)</f>
        <v>214716</v>
      </c>
    </row>
    <row r="14" ht="14.25" customHeight="1">
      <c r="A14" s="15" t="s">
        <v>19</v>
      </c>
      <c r="B14" s="15" t="s">
        <v>18</v>
      </c>
      <c r="C14" s="16">
        <v>232709.0</v>
      </c>
      <c r="D14" s="17">
        <v>6.0</v>
      </c>
      <c r="E14" s="18">
        <v>0.1</v>
      </c>
      <c r="F14" s="18">
        <v>0.5</v>
      </c>
      <c r="G14" s="19">
        <f t="shared" si="1"/>
        <v>69812.7</v>
      </c>
      <c r="H14" s="19">
        <f t="shared" si="2"/>
        <v>69812.7</v>
      </c>
      <c r="I14" s="19">
        <f t="shared" si="3"/>
        <v>69812.7</v>
      </c>
      <c r="J14" s="19">
        <f t="shared" si="4"/>
        <v>69812.7</v>
      </c>
      <c r="K14" s="19">
        <f>C14*D14*E14*F14</f>
        <v>69812.7</v>
      </c>
      <c r="L14" s="19">
        <f t="shared" si="5"/>
        <v>349063.5</v>
      </c>
      <c r="M14" s="19">
        <f>C14*D14*E14*F14</f>
        <v>69812.7</v>
      </c>
      <c r="N14" s="19">
        <f>C14*D14*E14*F14</f>
        <v>69812.7</v>
      </c>
      <c r="O14" s="19">
        <v>0.0</v>
      </c>
      <c r="P14" s="19">
        <v>0.0</v>
      </c>
      <c r="Q14" s="19">
        <v>0.0</v>
      </c>
      <c r="R14" s="19">
        <f t="shared" si="6"/>
        <v>837752.4</v>
      </c>
    </row>
    <row r="15" ht="14.25" customHeight="1">
      <c r="A15" s="15" t="s">
        <v>20</v>
      </c>
      <c r="B15" s="15" t="s">
        <v>18</v>
      </c>
      <c r="C15" s="16">
        <v>111570.0</v>
      </c>
      <c r="D15" s="17">
        <v>5.0</v>
      </c>
      <c r="E15" s="18">
        <v>0.1</v>
      </c>
      <c r="F15" s="18">
        <v>0.5</v>
      </c>
      <c r="G15" s="19">
        <f t="shared" si="1"/>
        <v>27892.5</v>
      </c>
      <c r="H15" s="19">
        <f t="shared" si="2"/>
        <v>27892.5</v>
      </c>
      <c r="I15" s="19">
        <f t="shared" si="3"/>
        <v>27892.5</v>
      </c>
      <c r="J15" s="19">
        <f t="shared" si="4"/>
        <v>27892.5</v>
      </c>
      <c r="K15" s="19">
        <v>0.0</v>
      </c>
      <c r="L15" s="19">
        <f t="shared" si="5"/>
        <v>111570</v>
      </c>
      <c r="M15" s="19">
        <v>0.0</v>
      </c>
      <c r="N15" s="19">
        <v>0.0</v>
      </c>
      <c r="O15" s="19">
        <v>0.0</v>
      </c>
      <c r="P15" s="19">
        <v>0.0</v>
      </c>
      <c r="Q15" s="19">
        <v>0.0</v>
      </c>
      <c r="R15" s="19">
        <f t="shared" si="6"/>
        <v>223140</v>
      </c>
    </row>
    <row r="16" ht="14.25" customHeight="1">
      <c r="A16" s="15" t="s">
        <v>21</v>
      </c>
      <c r="B16" s="15" t="s">
        <v>18</v>
      </c>
      <c r="C16" s="16">
        <v>54583.0</v>
      </c>
      <c r="D16" s="17">
        <v>5.0</v>
      </c>
      <c r="E16" s="18">
        <v>0.1</v>
      </c>
      <c r="F16" s="18">
        <v>0.5</v>
      </c>
      <c r="G16" s="19">
        <f t="shared" si="1"/>
        <v>13645.75</v>
      </c>
      <c r="H16" s="19">
        <f t="shared" si="2"/>
        <v>13645.75</v>
      </c>
      <c r="I16" s="19">
        <f t="shared" si="3"/>
        <v>13645.75</v>
      </c>
      <c r="J16" s="19">
        <f t="shared" si="4"/>
        <v>13645.75</v>
      </c>
      <c r="K16" s="19">
        <f t="shared" ref="K16:K17" si="7">C16*D16*E16*F16</f>
        <v>13645.75</v>
      </c>
      <c r="L16" s="19">
        <f t="shared" si="5"/>
        <v>68228.75</v>
      </c>
      <c r="M16" s="19">
        <f t="shared" ref="M16:M17" si="8">C16*D16*E16*F16</f>
        <v>13645.75</v>
      </c>
      <c r="N16" s="19">
        <v>0.0</v>
      </c>
      <c r="O16" s="19">
        <v>0.0</v>
      </c>
      <c r="P16" s="19">
        <v>0.0</v>
      </c>
      <c r="Q16" s="19">
        <v>0.0</v>
      </c>
      <c r="R16" s="19">
        <f t="shared" si="6"/>
        <v>150103.25</v>
      </c>
    </row>
    <row r="17" ht="14.25" customHeight="1">
      <c r="A17" s="15" t="s">
        <v>22</v>
      </c>
      <c r="B17" s="15" t="s">
        <v>18</v>
      </c>
      <c r="C17" s="16">
        <v>60991.0</v>
      </c>
      <c r="D17" s="17">
        <v>5.0</v>
      </c>
      <c r="E17" s="18">
        <v>0.1</v>
      </c>
      <c r="F17" s="18">
        <v>0.5</v>
      </c>
      <c r="G17" s="19">
        <f t="shared" si="1"/>
        <v>15247.75</v>
      </c>
      <c r="H17" s="19">
        <f t="shared" si="2"/>
        <v>15247.75</v>
      </c>
      <c r="I17" s="19">
        <f t="shared" si="3"/>
        <v>15247.75</v>
      </c>
      <c r="J17" s="19">
        <f t="shared" si="4"/>
        <v>15247.75</v>
      </c>
      <c r="K17" s="19">
        <f t="shared" si="7"/>
        <v>15247.75</v>
      </c>
      <c r="L17" s="19">
        <f t="shared" si="5"/>
        <v>76238.75</v>
      </c>
      <c r="M17" s="19">
        <f t="shared" si="8"/>
        <v>15247.75</v>
      </c>
      <c r="N17" s="19">
        <f>C17*D17*E17*F17</f>
        <v>15247.75</v>
      </c>
      <c r="O17" s="19">
        <v>0.0</v>
      </c>
      <c r="P17" s="19">
        <v>0.0</v>
      </c>
      <c r="Q17" s="19">
        <v>0.0</v>
      </c>
      <c r="R17" s="19">
        <f t="shared" si="6"/>
        <v>182973</v>
      </c>
    </row>
    <row r="18" ht="14.25" customHeight="1">
      <c r="A18" s="15" t="s">
        <v>23</v>
      </c>
      <c r="B18" s="15" t="s">
        <v>18</v>
      </c>
      <c r="C18" s="16">
        <v>153260.0</v>
      </c>
      <c r="D18" s="17">
        <v>5.0</v>
      </c>
      <c r="E18" s="18">
        <v>0.1</v>
      </c>
      <c r="F18" s="18">
        <v>0.5</v>
      </c>
      <c r="G18" s="19">
        <f t="shared" si="1"/>
        <v>38315</v>
      </c>
      <c r="H18" s="19">
        <f t="shared" si="2"/>
        <v>38315</v>
      </c>
      <c r="I18" s="19">
        <f t="shared" si="3"/>
        <v>38315</v>
      </c>
      <c r="J18" s="19">
        <f t="shared" si="4"/>
        <v>38315</v>
      </c>
      <c r="K18" s="19">
        <v>0.0</v>
      </c>
      <c r="L18" s="19">
        <f t="shared" si="5"/>
        <v>153260</v>
      </c>
      <c r="M18" s="19">
        <v>0.0</v>
      </c>
      <c r="N18" s="19">
        <v>0.0</v>
      </c>
      <c r="O18" s="19">
        <v>0.0</v>
      </c>
      <c r="P18" s="19">
        <v>0.0</v>
      </c>
      <c r="Q18" s="19">
        <v>0.0</v>
      </c>
      <c r="R18" s="19">
        <f t="shared" si="6"/>
        <v>306520</v>
      </c>
    </row>
    <row r="19" ht="14.25" customHeight="1">
      <c r="A19" s="15" t="s">
        <v>24</v>
      </c>
      <c r="B19" s="15" t="s">
        <v>18</v>
      </c>
      <c r="C19" s="16">
        <v>245456.0</v>
      </c>
      <c r="D19" s="17">
        <v>4.0</v>
      </c>
      <c r="E19" s="18">
        <v>0.1</v>
      </c>
      <c r="F19" s="18">
        <v>0.5</v>
      </c>
      <c r="G19" s="19">
        <f t="shared" si="1"/>
        <v>49091.2</v>
      </c>
      <c r="H19" s="19">
        <f t="shared" si="2"/>
        <v>49091.2</v>
      </c>
      <c r="I19" s="19">
        <f t="shared" si="3"/>
        <v>49091.2</v>
      </c>
      <c r="J19" s="19">
        <v>0.0</v>
      </c>
      <c r="K19" s="19">
        <v>0.0</v>
      </c>
      <c r="L19" s="19">
        <f t="shared" si="5"/>
        <v>147273.6</v>
      </c>
      <c r="M19" s="19">
        <v>0.0</v>
      </c>
      <c r="N19" s="19">
        <v>0.0</v>
      </c>
      <c r="O19" s="19">
        <v>0.0</v>
      </c>
      <c r="P19" s="19">
        <v>0.0</v>
      </c>
      <c r="Q19" s="19">
        <v>0.0</v>
      </c>
      <c r="R19" s="19">
        <f t="shared" si="6"/>
        <v>294547.2</v>
      </c>
    </row>
    <row r="20" ht="14.25" customHeight="1">
      <c r="A20" s="15" t="s">
        <v>25</v>
      </c>
      <c r="B20" s="15" t="s">
        <v>26</v>
      </c>
      <c r="C20" s="16">
        <v>544076.0</v>
      </c>
      <c r="D20" s="17">
        <v>7.0</v>
      </c>
      <c r="E20" s="18">
        <v>0.1</v>
      </c>
      <c r="F20" s="18">
        <v>0.5</v>
      </c>
      <c r="G20" s="19">
        <f t="shared" si="1"/>
        <v>190426.6</v>
      </c>
      <c r="H20" s="19">
        <f t="shared" si="2"/>
        <v>190426.6</v>
      </c>
      <c r="I20" s="19">
        <f t="shared" si="3"/>
        <v>190426.6</v>
      </c>
      <c r="J20" s="19">
        <f>C20*D20*E20*F20</f>
        <v>190426.6</v>
      </c>
      <c r="K20" s="19">
        <v>0.0</v>
      </c>
      <c r="L20" s="19">
        <f t="shared" si="5"/>
        <v>761706.4</v>
      </c>
      <c r="M20" s="19">
        <v>0.0</v>
      </c>
      <c r="N20" s="19">
        <v>0.0</v>
      </c>
      <c r="O20" s="19">
        <v>0.0</v>
      </c>
      <c r="P20" s="19">
        <v>0.0</v>
      </c>
      <c r="Q20" s="19">
        <v>0.0</v>
      </c>
      <c r="R20" s="19">
        <f t="shared" si="6"/>
        <v>1523412.8</v>
      </c>
    </row>
    <row r="21" ht="14.25" customHeight="1">
      <c r="A21" s="10" t="s">
        <v>27</v>
      </c>
      <c r="B21" s="15"/>
      <c r="C21" s="16"/>
      <c r="D21" s="17"/>
      <c r="E21" s="18"/>
      <c r="F21" s="18"/>
      <c r="G21" s="19"/>
      <c r="H21" s="19"/>
      <c r="I21" s="19"/>
      <c r="J21" s="19"/>
      <c r="K21" s="19"/>
      <c r="L21" s="19"/>
      <c r="M21" s="19"/>
      <c r="N21" s="19"/>
      <c r="O21" s="19"/>
      <c r="P21" s="19"/>
      <c r="Q21" s="19"/>
      <c r="R21" s="19"/>
    </row>
    <row r="22" ht="14.25" customHeight="1">
      <c r="A22" s="20" t="s">
        <v>28</v>
      </c>
      <c r="B22" s="20" t="s">
        <v>26</v>
      </c>
      <c r="C22" s="21">
        <v>36775.0</v>
      </c>
      <c r="D22" s="22">
        <v>7.0</v>
      </c>
      <c r="E22" s="23">
        <v>0.07</v>
      </c>
      <c r="F22" s="24">
        <v>0.25</v>
      </c>
      <c r="G22" s="25">
        <v>0.0</v>
      </c>
      <c r="H22" s="25">
        <v>0.0</v>
      </c>
      <c r="I22" s="25">
        <v>0.0</v>
      </c>
      <c r="J22" s="25">
        <v>0.0</v>
      </c>
      <c r="K22" s="25">
        <v>0.0</v>
      </c>
      <c r="L22" s="21">
        <f t="shared" ref="L22:L23" si="9">SUM(G22:K22)</f>
        <v>0</v>
      </c>
      <c r="M22" s="21">
        <f>10174*D22*E22*F22</f>
        <v>1246.315</v>
      </c>
      <c r="N22" s="21">
        <f>39432*D22*E22*F22</f>
        <v>4830.42</v>
      </c>
      <c r="O22" s="21">
        <f>82455*D22*E22*F22</f>
        <v>10100.7375</v>
      </c>
      <c r="P22" s="21">
        <f>145914*D22*E22*F22</f>
        <v>17874.465</v>
      </c>
      <c r="Q22" s="21">
        <f>239745*D22*E22*F22</f>
        <v>29368.7625</v>
      </c>
      <c r="R22" s="21">
        <f t="shared" ref="R22:R23" si="10">SUM(G22:Q22)</f>
        <v>63420.7</v>
      </c>
    </row>
    <row r="23" ht="14.25" customHeight="1">
      <c r="A23" s="5" t="s">
        <v>29</v>
      </c>
      <c r="B23" s="5" t="s">
        <v>26</v>
      </c>
      <c r="C23" s="26">
        <v>300000.0</v>
      </c>
      <c r="D23" s="22">
        <v>6.0</v>
      </c>
      <c r="E23" s="23">
        <v>0.07</v>
      </c>
      <c r="F23" s="24">
        <v>0.25</v>
      </c>
      <c r="G23" s="26">
        <f>C23*D23*E23*F23</f>
        <v>31500</v>
      </c>
      <c r="H23" s="26">
        <f>C23*D23*E23*F23</f>
        <v>31500</v>
      </c>
      <c r="I23" s="26">
        <f>C23*D23*E23*F23</f>
        <v>31500</v>
      </c>
      <c r="J23" s="26">
        <f>C23*D23*E23*F23</f>
        <v>31500</v>
      </c>
      <c r="K23" s="26">
        <f>C23*D23*E23*F23</f>
        <v>31500</v>
      </c>
      <c r="L23" s="26">
        <f t="shared" si="9"/>
        <v>157500</v>
      </c>
      <c r="M23" s="26">
        <f>C23*D23*E23*F23</f>
        <v>31500</v>
      </c>
      <c r="N23" s="26">
        <f>C23*D23*E23*F23</f>
        <v>31500</v>
      </c>
      <c r="O23" s="26">
        <f>C23*D23*E23*F23</f>
        <v>31500</v>
      </c>
      <c r="P23" s="26">
        <f>C23*D23*E23*F23</f>
        <v>31500</v>
      </c>
      <c r="Q23" s="26">
        <f>C23*D23*E23*F23</f>
        <v>31500</v>
      </c>
      <c r="R23" s="26">
        <f t="shared" si="10"/>
        <v>472500</v>
      </c>
    </row>
    <row r="24" ht="14.25" customHeight="1">
      <c r="A24" s="27" t="s">
        <v>30</v>
      </c>
      <c r="B24" s="27" t="s">
        <v>26</v>
      </c>
      <c r="C24" s="28">
        <f>SUM(C22:C23)</f>
        <v>336775</v>
      </c>
      <c r="D24" s="29"/>
      <c r="E24" s="29"/>
      <c r="F24" s="29"/>
      <c r="G24" s="30">
        <f t="shared" ref="G24:R24" si="11">SUM(G22:G23)</f>
        <v>31500</v>
      </c>
      <c r="H24" s="30">
        <f t="shared" si="11"/>
        <v>31500</v>
      </c>
      <c r="I24" s="30">
        <f t="shared" si="11"/>
        <v>31500</v>
      </c>
      <c r="J24" s="30">
        <f t="shared" si="11"/>
        <v>31500</v>
      </c>
      <c r="K24" s="30">
        <f t="shared" si="11"/>
        <v>31500</v>
      </c>
      <c r="L24" s="30">
        <f t="shared" si="11"/>
        <v>157500</v>
      </c>
      <c r="M24" s="30">
        <f t="shared" si="11"/>
        <v>32746.315</v>
      </c>
      <c r="N24" s="30">
        <f t="shared" si="11"/>
        <v>36330.42</v>
      </c>
      <c r="O24" s="30">
        <f t="shared" si="11"/>
        <v>41600.7375</v>
      </c>
      <c r="P24" s="30">
        <f t="shared" si="11"/>
        <v>49374.465</v>
      </c>
      <c r="Q24" s="30">
        <f t="shared" si="11"/>
        <v>60868.7625</v>
      </c>
      <c r="R24" s="30">
        <f t="shared" si="11"/>
        <v>535920.7</v>
      </c>
    </row>
    <row r="25" ht="14.25" customHeight="1"/>
    <row r="26" ht="14.25" customHeight="1">
      <c r="A26" s="31" t="s">
        <v>31</v>
      </c>
      <c r="G26" s="32">
        <f t="array" ref="G26">SUMPRODUCT((C22:C23)*(F22:F23)*IF(G22:G23&gt;0,1,0))</f>
        <v>75000</v>
      </c>
      <c r="H26" s="32">
        <f t="array" ref="H26">SUMPRODUCT((C22:C23)*(F22:F23)*IF(H22:H23&gt;0,1,0))</f>
        <v>75000</v>
      </c>
      <c r="I26" s="32">
        <f t="array" ref="I26">SUMPRODUCT((C22:C23)*(F22:F23)*IF(I22:I23&gt;0,1,0))</f>
        <v>75000</v>
      </c>
      <c r="J26" s="32">
        <f t="array" ref="J26">SUMPRODUCT((C22:C23)*(F22:F23)*IF(J22:J23&gt;0,1,0))</f>
        <v>75000</v>
      </c>
      <c r="K26" s="32">
        <f t="array" ref="K26">SUMPRODUCT((C22:C23)*(F22:F23)*IF(K22:K23&gt;0,1,0))</f>
        <v>75000</v>
      </c>
      <c r="L26" s="32">
        <f t="array" ref="L26">SUMPRODUCT((C22:C23)*(F22:F23))</f>
        <v>84193.75</v>
      </c>
      <c r="M26" s="32">
        <f t="array" ref="M26">SUMPRODUCT((C22:C23)*(F22:F23)*IF(M22:M23&gt;0,1,0))</f>
        <v>84193.75</v>
      </c>
      <c r="N26" s="32">
        <f t="array" ref="N26">SUMPRODUCT((C22:C23)*(F22:F23)*IF(N22:N23&gt;0,1,0))</f>
        <v>84193.75</v>
      </c>
      <c r="O26" s="32">
        <f t="array" ref="O26">SUMPRODUCT((C22:C23)*(F22:F23)*IF(O22:O23&gt;0,1,0))</f>
        <v>84193.75</v>
      </c>
      <c r="P26" s="32">
        <f t="array" ref="P26">SUMPRODUCT((C22:C23)*(F22:F23)*IF(P22:P23&gt;0,1,0))</f>
        <v>84193.75</v>
      </c>
      <c r="Q26" s="32">
        <f t="array" ref="Q26">SUMPRODUCT((C22:C23)*(F22:F23)*IF(Q22:Q23&gt;0,1,0))</f>
        <v>84193.75</v>
      </c>
      <c r="R26" s="32">
        <f>SUM(G26:Q26)</f>
        <v>880162.5</v>
      </c>
    </row>
    <row r="27" ht="14.25" customHeight="1"/>
    <row r="28" ht="14.25" customHeight="1"/>
    <row r="29" ht="14.25" customHeight="1">
      <c r="A29" s="3" t="s">
        <v>32</v>
      </c>
      <c r="B29" s="4"/>
      <c r="C29" s="4"/>
      <c r="D29" s="4"/>
    </row>
    <row r="30" ht="14.25" customHeight="1">
      <c r="A30" s="33" t="s">
        <v>33</v>
      </c>
      <c r="B30" s="33" t="s">
        <v>34</v>
      </c>
      <c r="C30" s="33" t="s">
        <v>35</v>
      </c>
      <c r="D30" s="33" t="s">
        <v>36</v>
      </c>
    </row>
    <row r="31" ht="14.25" customHeight="1">
      <c r="A31" s="20" t="s">
        <v>37</v>
      </c>
      <c r="B31" s="20" t="s">
        <v>38</v>
      </c>
      <c r="C31" s="20" t="s">
        <v>39</v>
      </c>
      <c r="D31" s="20" t="s">
        <v>40</v>
      </c>
    </row>
    <row r="32" ht="14.25" customHeight="1">
      <c r="A32" s="20" t="s">
        <v>41</v>
      </c>
      <c r="B32" s="20" t="s">
        <v>42</v>
      </c>
      <c r="C32" s="20" t="s">
        <v>43</v>
      </c>
      <c r="D32" s="20" t="s">
        <v>44</v>
      </c>
    </row>
    <row r="33" ht="14.25" customHeight="1">
      <c r="A33" s="20" t="s">
        <v>45</v>
      </c>
      <c r="B33" s="20" t="s">
        <v>46</v>
      </c>
      <c r="C33" s="20" t="s">
        <v>39</v>
      </c>
      <c r="D33" s="20" t="s">
        <v>47</v>
      </c>
    </row>
    <row r="34" ht="14.25" customHeight="1">
      <c r="A34" s="20" t="s">
        <v>48</v>
      </c>
      <c r="B34" s="20" t="s">
        <v>49</v>
      </c>
      <c r="C34" s="20" t="s">
        <v>43</v>
      </c>
      <c r="D34" s="20" t="s">
        <v>50</v>
      </c>
    </row>
    <row r="35" ht="14.25" customHeight="1">
      <c r="A35" s="20" t="s">
        <v>51</v>
      </c>
      <c r="B35" s="20" t="s">
        <v>52</v>
      </c>
      <c r="C35" s="20" t="s">
        <v>43</v>
      </c>
      <c r="D35" s="20" t="s">
        <v>53</v>
      </c>
    </row>
    <row r="36" ht="14.25" customHeight="1">
      <c r="A36" s="20" t="s">
        <v>54</v>
      </c>
      <c r="B36" s="20" t="s">
        <v>55</v>
      </c>
      <c r="C36" s="20" t="s">
        <v>39</v>
      </c>
      <c r="D36" s="20" t="s">
        <v>56</v>
      </c>
    </row>
    <row r="37" ht="14.25" customHeight="1">
      <c r="A37" s="20" t="s">
        <v>57</v>
      </c>
      <c r="B37" s="20" t="s">
        <v>58</v>
      </c>
      <c r="C37" s="20" t="s">
        <v>59</v>
      </c>
      <c r="D37" s="20" t="s">
        <v>60</v>
      </c>
    </row>
    <row r="38" ht="14.25" customHeight="1">
      <c r="A38" s="20" t="s">
        <v>61</v>
      </c>
      <c r="B38" s="20" t="s">
        <v>62</v>
      </c>
      <c r="C38" s="20" t="s">
        <v>63</v>
      </c>
      <c r="D38" s="20" t="s">
        <v>64</v>
      </c>
    </row>
    <row r="39" ht="14.25" customHeight="1">
      <c r="A39" s="20" t="s">
        <v>65</v>
      </c>
      <c r="B39" s="20" t="s">
        <v>66</v>
      </c>
      <c r="C39" s="20" t="s">
        <v>67</v>
      </c>
      <c r="D39" s="20" t="s">
        <v>68</v>
      </c>
    </row>
    <row r="40" ht="14.25" customHeight="1">
      <c r="A40" s="20" t="s">
        <v>69</v>
      </c>
      <c r="B40" s="20" t="s">
        <v>70</v>
      </c>
      <c r="C40" s="20" t="s">
        <v>71</v>
      </c>
      <c r="D40" s="20" t="s">
        <v>72</v>
      </c>
    </row>
    <row r="41" ht="14.25" customHeight="1"/>
    <row r="42" ht="14.25" customHeight="1">
      <c r="A42" s="3" t="s">
        <v>73</v>
      </c>
      <c r="B42" s="4"/>
    </row>
    <row r="43" ht="14.25" customHeight="1">
      <c r="A43" s="34" t="s">
        <v>74</v>
      </c>
      <c r="B43" s="20" t="s">
        <v>75</v>
      </c>
    </row>
    <row r="44" ht="14.25" customHeight="1">
      <c r="A44" s="35" t="s">
        <v>76</v>
      </c>
      <c r="B44" s="20" t="s">
        <v>77</v>
      </c>
    </row>
    <row r="45" ht="14.25" customHeight="1">
      <c r="A45" s="15" t="s">
        <v>78</v>
      </c>
      <c r="B45" s="20" t="s">
        <v>79</v>
      </c>
    </row>
    <row r="46" ht="14.25" customHeight="1">
      <c r="A46" s="5" t="s">
        <v>80</v>
      </c>
      <c r="B46" s="20" t="s">
        <v>81</v>
      </c>
    </row>
    <row r="47" ht="14.25" customHeight="1"/>
    <row r="48" ht="14.25" customHeight="1">
      <c r="A48" s="36" t="s">
        <v>82</v>
      </c>
      <c r="B48" s="37"/>
      <c r="C48" s="37"/>
      <c r="D48" s="37"/>
    </row>
    <row r="49" ht="14.25" customHeight="1">
      <c r="A49" s="20" t="s">
        <v>83</v>
      </c>
    </row>
    <row r="50" ht="14.25" customHeight="1">
      <c r="A50" s="20" t="s">
        <v>84</v>
      </c>
    </row>
    <row r="51" ht="14.25" customHeight="1">
      <c r="A51" s="20" t="s">
        <v>85</v>
      </c>
    </row>
    <row r="52" ht="14.25" customHeight="1">
      <c r="A52" s="20" t="s">
        <v>86</v>
      </c>
    </row>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25"/>
    <col customWidth="1" min="2" max="2" width="11.63"/>
    <col customWidth="1" min="3" max="3" width="13.5"/>
    <col customWidth="1" min="4" max="6" width="12.63"/>
    <col customWidth="1" min="16" max="16" width="19.63"/>
    <col customWidth="1" min="17" max="17" width="27.13"/>
    <col customWidth="1" min="18" max="18" width="14.88"/>
  </cols>
  <sheetData>
    <row r="1" ht="14.25" customHeight="1">
      <c r="A1" s="38"/>
      <c r="B1" s="38" t="s">
        <v>87</v>
      </c>
      <c r="C1" s="38" t="s">
        <v>88</v>
      </c>
      <c r="D1" s="38" t="s">
        <v>89</v>
      </c>
      <c r="E1" s="38" t="s">
        <v>90</v>
      </c>
      <c r="F1" s="38" t="s">
        <v>91</v>
      </c>
      <c r="G1" s="38" t="s">
        <v>92</v>
      </c>
      <c r="H1" s="38" t="s">
        <v>93</v>
      </c>
      <c r="I1" s="38" t="s">
        <v>94</v>
      </c>
      <c r="J1" s="38" t="s">
        <v>95</v>
      </c>
      <c r="K1" s="38" t="s">
        <v>96</v>
      </c>
      <c r="L1" s="38" t="s">
        <v>97</v>
      </c>
      <c r="M1" s="38" t="s">
        <v>98</v>
      </c>
      <c r="N1" s="38" t="s">
        <v>99</v>
      </c>
      <c r="O1" s="38" t="s">
        <v>100</v>
      </c>
      <c r="P1" s="38" t="s">
        <v>101</v>
      </c>
      <c r="Q1" s="38" t="s">
        <v>102</v>
      </c>
      <c r="R1" s="38" t="s">
        <v>103</v>
      </c>
      <c r="S1" s="39"/>
      <c r="T1" s="39"/>
      <c r="U1" s="39"/>
      <c r="V1" s="39"/>
      <c r="W1" s="39"/>
      <c r="X1" s="39"/>
      <c r="Y1" s="39"/>
      <c r="Z1" s="39"/>
      <c r="AA1" s="39"/>
      <c r="AB1" s="39"/>
      <c r="AC1" s="39"/>
      <c r="AD1" s="39"/>
      <c r="AE1" s="39"/>
      <c r="AF1" s="39"/>
      <c r="AG1" s="39"/>
      <c r="AH1" s="39"/>
      <c r="AI1" s="39"/>
      <c r="AJ1" s="39"/>
      <c r="AK1" s="39"/>
      <c r="AL1" s="39"/>
    </row>
    <row r="2" ht="14.25" customHeight="1">
      <c r="A2" s="40" t="s">
        <v>17</v>
      </c>
      <c r="B2" s="40">
        <v>800.0</v>
      </c>
      <c r="C2" s="41">
        <v>97187.9</v>
      </c>
      <c r="D2" s="41">
        <v>107358.0</v>
      </c>
      <c r="E2" s="40">
        <v>9.66</v>
      </c>
      <c r="F2" s="40">
        <v>8.72</v>
      </c>
      <c r="G2" s="40">
        <v>50.9</v>
      </c>
      <c r="H2" s="40">
        <v>1.6</v>
      </c>
      <c r="I2" s="40">
        <v>22.45</v>
      </c>
      <c r="J2" s="40">
        <v>1.32</v>
      </c>
      <c r="K2" s="40">
        <v>0.23</v>
      </c>
      <c r="L2" s="40">
        <v>0.52</v>
      </c>
      <c r="M2" s="40">
        <v>1.64</v>
      </c>
      <c r="N2" s="40">
        <v>2.96</v>
      </c>
      <c r="O2" s="40" t="s">
        <v>104</v>
      </c>
      <c r="P2" s="40" t="s">
        <v>105</v>
      </c>
      <c r="Q2" s="42" t="s">
        <v>40</v>
      </c>
      <c r="R2" s="40" t="s">
        <v>18</v>
      </c>
      <c r="S2" s="39"/>
      <c r="T2" s="39"/>
      <c r="U2" s="39"/>
      <c r="V2" s="39"/>
      <c r="W2" s="39"/>
      <c r="X2" s="39"/>
      <c r="Y2" s="39"/>
      <c r="Z2" s="39"/>
      <c r="AA2" s="39"/>
      <c r="AB2" s="39"/>
      <c r="AC2" s="39"/>
      <c r="AD2" s="39"/>
      <c r="AE2" s="39"/>
      <c r="AF2" s="39"/>
      <c r="AG2" s="39"/>
      <c r="AH2" s="39"/>
      <c r="AI2" s="39"/>
      <c r="AJ2" s="39"/>
      <c r="AK2" s="39"/>
      <c r="AL2" s="39"/>
    </row>
    <row r="3" ht="14.25" customHeight="1">
      <c r="A3" s="40" t="s">
        <v>19</v>
      </c>
      <c r="B3" s="40">
        <v>2250.0</v>
      </c>
      <c r="C3" s="41">
        <v>322000.0</v>
      </c>
      <c r="D3" s="41">
        <v>232709.0</v>
      </c>
      <c r="E3" s="40">
        <v>5.65</v>
      </c>
      <c r="F3" s="40">
        <v>16.6</v>
      </c>
      <c r="G3" s="40">
        <v>45.38</v>
      </c>
      <c r="H3" s="40">
        <v>2.58</v>
      </c>
      <c r="I3" s="40">
        <v>0.0</v>
      </c>
      <c r="J3" s="40">
        <v>29.79</v>
      </c>
      <c r="K3" s="40">
        <v>0.0</v>
      </c>
      <c r="L3" s="40">
        <v>0.0</v>
      </c>
      <c r="M3" s="40">
        <v>0.0</v>
      </c>
      <c r="N3" s="40">
        <v>0.0</v>
      </c>
      <c r="O3" s="40" t="s">
        <v>106</v>
      </c>
      <c r="P3" s="40" t="s">
        <v>105</v>
      </c>
      <c r="Q3" s="42" t="s">
        <v>44</v>
      </c>
      <c r="R3" s="40" t="s">
        <v>18</v>
      </c>
      <c r="S3" s="39"/>
      <c r="T3" s="39"/>
      <c r="U3" s="39"/>
      <c r="V3" s="39"/>
      <c r="W3" s="39"/>
      <c r="X3" s="39"/>
      <c r="Y3" s="39"/>
      <c r="Z3" s="39"/>
      <c r="AA3" s="39"/>
      <c r="AB3" s="39"/>
      <c r="AC3" s="39"/>
      <c r="AD3" s="39"/>
      <c r="AE3" s="39"/>
      <c r="AF3" s="39"/>
      <c r="AG3" s="39"/>
      <c r="AH3" s="39"/>
      <c r="AI3" s="39"/>
      <c r="AJ3" s="39"/>
      <c r="AK3" s="39"/>
      <c r="AL3" s="39"/>
    </row>
    <row r="4" ht="14.25" customHeight="1">
      <c r="A4" s="40" t="s">
        <v>20</v>
      </c>
      <c r="B4" s="40">
        <v>600.0</v>
      </c>
      <c r="C4" s="41">
        <v>88010.0</v>
      </c>
      <c r="D4" s="41">
        <v>111570.0</v>
      </c>
      <c r="E4" s="40">
        <v>1.29</v>
      </c>
      <c r="F4" s="40">
        <v>16.0</v>
      </c>
      <c r="G4" s="40">
        <v>53.0</v>
      </c>
      <c r="H4" s="40">
        <v>2.11</v>
      </c>
      <c r="I4" s="40">
        <v>0.0</v>
      </c>
      <c r="J4" s="40">
        <v>1.47</v>
      </c>
      <c r="K4" s="40">
        <v>1.12</v>
      </c>
      <c r="L4" s="40">
        <v>9.35</v>
      </c>
      <c r="M4" s="40">
        <v>6.0</v>
      </c>
      <c r="N4" s="40">
        <v>9.66</v>
      </c>
      <c r="O4" s="40" t="s">
        <v>107</v>
      </c>
      <c r="P4" s="40" t="s">
        <v>105</v>
      </c>
      <c r="Q4" s="42" t="s">
        <v>47</v>
      </c>
      <c r="R4" s="40" t="s">
        <v>18</v>
      </c>
      <c r="S4" s="39"/>
      <c r="T4" s="39"/>
      <c r="U4" s="39"/>
      <c r="V4" s="39"/>
      <c r="W4" s="39"/>
      <c r="X4" s="39"/>
      <c r="Y4" s="39"/>
      <c r="Z4" s="39"/>
      <c r="AA4" s="39"/>
      <c r="AB4" s="39"/>
      <c r="AC4" s="39"/>
      <c r="AD4" s="39"/>
      <c r="AE4" s="39"/>
      <c r="AF4" s="39"/>
      <c r="AG4" s="39"/>
      <c r="AH4" s="39"/>
      <c r="AI4" s="39"/>
      <c r="AJ4" s="39"/>
      <c r="AK4" s="39"/>
      <c r="AL4" s="39"/>
    </row>
    <row r="5" ht="14.25" customHeight="1">
      <c r="A5" s="40" t="s">
        <v>21</v>
      </c>
      <c r="B5" s="40">
        <v>600.0</v>
      </c>
      <c r="C5" s="41">
        <v>74534.5</v>
      </c>
      <c r="D5" s="41">
        <v>54583.0</v>
      </c>
      <c r="E5" s="40" t="s">
        <v>72</v>
      </c>
      <c r="F5" s="40" t="s">
        <v>72</v>
      </c>
      <c r="G5" s="40" t="s">
        <v>72</v>
      </c>
      <c r="H5" s="40" t="s">
        <v>72</v>
      </c>
      <c r="I5" s="40" t="s">
        <v>72</v>
      </c>
      <c r="J5" s="40" t="s">
        <v>72</v>
      </c>
      <c r="K5" s="40" t="s">
        <v>72</v>
      </c>
      <c r="L5" s="40" t="s">
        <v>72</v>
      </c>
      <c r="M5" s="40" t="s">
        <v>72</v>
      </c>
      <c r="N5" s="40" t="s">
        <v>72</v>
      </c>
      <c r="O5" s="40" t="s">
        <v>108</v>
      </c>
      <c r="P5" s="40" t="s">
        <v>105</v>
      </c>
      <c r="Q5" s="42" t="s">
        <v>50</v>
      </c>
      <c r="R5" s="40" t="s">
        <v>18</v>
      </c>
      <c r="S5" s="39"/>
      <c r="T5" s="39"/>
      <c r="U5" s="39"/>
      <c r="V5" s="39"/>
      <c r="W5" s="39"/>
      <c r="X5" s="39"/>
      <c r="Y5" s="39"/>
      <c r="Z5" s="39"/>
      <c r="AA5" s="39"/>
      <c r="AB5" s="39"/>
      <c r="AC5" s="39"/>
      <c r="AD5" s="39"/>
      <c r="AE5" s="39"/>
      <c r="AF5" s="39"/>
      <c r="AG5" s="39"/>
      <c r="AH5" s="39"/>
      <c r="AI5" s="39"/>
      <c r="AJ5" s="39"/>
      <c r="AK5" s="39"/>
      <c r="AL5" s="39"/>
    </row>
    <row r="6" ht="14.25" customHeight="1">
      <c r="A6" s="40" t="s">
        <v>109</v>
      </c>
      <c r="B6" s="40">
        <v>1000.0</v>
      </c>
      <c r="C6" s="41">
        <v>135700.0</v>
      </c>
      <c r="D6" s="41">
        <v>60991.0</v>
      </c>
      <c r="E6" s="40">
        <v>1.97</v>
      </c>
      <c r="F6" s="40">
        <v>13.08</v>
      </c>
      <c r="G6" s="40">
        <v>57.37</v>
      </c>
      <c r="H6" s="40">
        <v>3.23</v>
      </c>
      <c r="I6" s="40"/>
      <c r="J6" s="40">
        <v>1.41</v>
      </c>
      <c r="K6" s="40">
        <v>0.35</v>
      </c>
      <c r="L6" s="40">
        <v>5.08</v>
      </c>
      <c r="M6" s="40">
        <v>10.16</v>
      </c>
      <c r="N6" s="40">
        <v>7.35</v>
      </c>
      <c r="O6" s="40" t="s">
        <v>110</v>
      </c>
      <c r="P6" s="40" t="s">
        <v>105</v>
      </c>
      <c r="Q6" s="42" t="s">
        <v>53</v>
      </c>
      <c r="R6" s="40" t="s">
        <v>18</v>
      </c>
      <c r="S6" s="39"/>
      <c r="T6" s="39"/>
      <c r="U6" s="39"/>
      <c r="V6" s="39"/>
      <c r="W6" s="39"/>
      <c r="X6" s="39"/>
      <c r="Y6" s="39"/>
      <c r="Z6" s="39"/>
      <c r="AA6" s="39"/>
      <c r="AB6" s="39"/>
      <c r="AC6" s="39"/>
      <c r="AD6" s="39"/>
      <c r="AE6" s="39"/>
      <c r="AF6" s="39"/>
      <c r="AG6" s="39"/>
      <c r="AH6" s="39"/>
      <c r="AI6" s="39"/>
      <c r="AJ6" s="39"/>
      <c r="AK6" s="39"/>
      <c r="AL6" s="39"/>
    </row>
    <row r="7" ht="14.25" customHeight="1">
      <c r="A7" s="40" t="s">
        <v>111</v>
      </c>
      <c r="B7" s="40">
        <v>1200.0</v>
      </c>
      <c r="C7" s="41">
        <v>163663.1</v>
      </c>
      <c r="D7" s="41">
        <v>153260.0</v>
      </c>
      <c r="E7" s="40">
        <v>7.5</v>
      </c>
      <c r="F7" s="40">
        <v>8.0</v>
      </c>
      <c r="G7" s="40">
        <v>50.0</v>
      </c>
      <c r="H7" s="40">
        <v>4.0</v>
      </c>
      <c r="I7" s="40">
        <v>0.0</v>
      </c>
      <c r="J7" s="40">
        <v>3.5</v>
      </c>
      <c r="K7" s="40">
        <v>2.0</v>
      </c>
      <c r="L7" s="40">
        <v>0.0</v>
      </c>
      <c r="M7" s="40">
        <v>17.0</v>
      </c>
      <c r="N7" s="40">
        <v>8.0</v>
      </c>
      <c r="O7" s="40" t="s">
        <v>112</v>
      </c>
      <c r="P7" s="40" t="s">
        <v>105</v>
      </c>
      <c r="Q7" s="42" t="s">
        <v>56</v>
      </c>
      <c r="R7" s="40" t="s">
        <v>18</v>
      </c>
      <c r="S7" s="39"/>
      <c r="T7" s="39"/>
      <c r="U7" s="39"/>
      <c r="V7" s="39"/>
      <c r="W7" s="39"/>
      <c r="X7" s="39"/>
      <c r="Y7" s="39"/>
      <c r="Z7" s="39"/>
      <c r="AA7" s="39"/>
      <c r="AB7" s="39"/>
      <c r="AC7" s="39"/>
      <c r="AD7" s="39"/>
      <c r="AE7" s="39"/>
      <c r="AF7" s="39"/>
      <c r="AG7" s="39"/>
      <c r="AH7" s="39"/>
      <c r="AI7" s="39"/>
      <c r="AJ7" s="39"/>
      <c r="AK7" s="39"/>
      <c r="AL7" s="39"/>
    </row>
    <row r="8" ht="14.25" customHeight="1">
      <c r="A8" s="40" t="s">
        <v>24</v>
      </c>
      <c r="B8" s="40">
        <v>1500.0</v>
      </c>
      <c r="C8" s="41">
        <v>204800.0</v>
      </c>
      <c r="D8" s="41">
        <v>245456.0</v>
      </c>
      <c r="E8" s="40">
        <v>7.12</v>
      </c>
      <c r="F8" s="40">
        <v>9.13</v>
      </c>
      <c r="G8" s="40">
        <v>52.16</v>
      </c>
      <c r="H8" s="40">
        <v>1.13</v>
      </c>
      <c r="I8" s="40">
        <v>0.0</v>
      </c>
      <c r="J8" s="40">
        <v>13.14</v>
      </c>
      <c r="K8" s="40">
        <v>6.21</v>
      </c>
      <c r="L8" s="40">
        <v>1.26</v>
      </c>
      <c r="M8" s="40">
        <v>6.21</v>
      </c>
      <c r="N8" s="40">
        <v>3.64</v>
      </c>
      <c r="O8" s="40" t="s">
        <v>113</v>
      </c>
      <c r="P8" s="40" t="s">
        <v>105</v>
      </c>
      <c r="Q8" s="42" t="s">
        <v>60</v>
      </c>
      <c r="R8" s="40" t="s">
        <v>18</v>
      </c>
      <c r="S8" s="39"/>
      <c r="T8" s="39"/>
      <c r="U8" s="39"/>
      <c r="V8" s="39"/>
      <c r="W8" s="39"/>
      <c r="X8" s="39"/>
      <c r="Y8" s="39"/>
      <c r="Z8" s="39"/>
      <c r="AA8" s="39"/>
      <c r="AB8" s="39"/>
      <c r="AC8" s="39"/>
      <c r="AD8" s="39"/>
      <c r="AE8" s="39"/>
      <c r="AF8" s="39"/>
      <c r="AG8" s="39"/>
      <c r="AH8" s="39"/>
      <c r="AI8" s="39"/>
      <c r="AJ8" s="39"/>
      <c r="AK8" s="39"/>
      <c r="AL8" s="39"/>
    </row>
    <row r="9" ht="27.0" customHeight="1">
      <c r="A9" s="40" t="s">
        <v>114</v>
      </c>
      <c r="B9" s="40">
        <v>4000.0</v>
      </c>
      <c r="C9" s="41">
        <f>388.05*1000</f>
        <v>388050</v>
      </c>
      <c r="D9" s="41">
        <v>544076.0</v>
      </c>
      <c r="E9" s="40">
        <v>0.0</v>
      </c>
      <c r="F9" s="40">
        <v>2.7</v>
      </c>
      <c r="G9" s="40">
        <v>51.9</v>
      </c>
      <c r="H9" s="40">
        <v>1.6</v>
      </c>
      <c r="I9" s="40">
        <v>0.0</v>
      </c>
      <c r="J9" s="40">
        <v>0.5</v>
      </c>
      <c r="K9" s="40">
        <v>0.9</v>
      </c>
      <c r="L9" s="40">
        <v>3.0</v>
      </c>
      <c r="M9" s="40">
        <v>1.3</v>
      </c>
      <c r="N9" s="40">
        <v>38.1</v>
      </c>
      <c r="O9" s="40" t="s">
        <v>115</v>
      </c>
      <c r="P9" s="40" t="s">
        <v>105</v>
      </c>
      <c r="Q9" s="42" t="s">
        <v>64</v>
      </c>
      <c r="R9" s="40" t="s">
        <v>26</v>
      </c>
      <c r="S9" s="39"/>
      <c r="T9" s="39"/>
      <c r="U9" s="39"/>
      <c r="V9" s="39"/>
      <c r="W9" s="39"/>
      <c r="X9" s="39"/>
      <c r="Y9" s="39"/>
      <c r="Z9" s="39"/>
      <c r="AA9" s="39"/>
      <c r="AB9" s="39"/>
      <c r="AC9" s="39"/>
      <c r="AD9" s="39"/>
      <c r="AE9" s="39"/>
      <c r="AF9" s="39"/>
      <c r="AG9" s="39"/>
      <c r="AH9" s="39"/>
      <c r="AI9" s="39"/>
      <c r="AJ9" s="39"/>
      <c r="AK9" s="39"/>
      <c r="AL9" s="39"/>
    </row>
    <row r="10" ht="27.0" customHeight="1">
      <c r="A10" s="43" t="s">
        <v>116</v>
      </c>
      <c r="B10" s="43">
        <v>600.0</v>
      </c>
      <c r="C10" s="43">
        <v>13600.0</v>
      </c>
      <c r="D10" s="44">
        <v>36775.0</v>
      </c>
      <c r="E10" s="43">
        <v>3.61</v>
      </c>
      <c r="F10" s="43">
        <v>5.36</v>
      </c>
      <c r="G10" s="45">
        <v>29.8</v>
      </c>
      <c r="H10" s="43">
        <v>2.46</v>
      </c>
      <c r="I10" s="43">
        <v>16.0</v>
      </c>
      <c r="J10" s="43">
        <v>10.72</v>
      </c>
      <c r="K10" s="43">
        <v>0.82</v>
      </c>
      <c r="L10" s="45">
        <v>30.24</v>
      </c>
      <c r="M10" s="43">
        <v>0.02</v>
      </c>
      <c r="N10" s="43">
        <v>0.97</v>
      </c>
      <c r="O10" s="43"/>
      <c r="P10" s="43" t="s">
        <v>105</v>
      </c>
      <c r="Q10" s="43"/>
      <c r="R10" s="43"/>
      <c r="S10" s="46"/>
      <c r="T10" s="46"/>
      <c r="U10" s="46"/>
      <c r="V10" s="46"/>
      <c r="W10" s="46"/>
      <c r="X10" s="46"/>
      <c r="Y10" s="46"/>
      <c r="Z10" s="46"/>
      <c r="AA10" s="46"/>
      <c r="AB10" s="46"/>
      <c r="AC10" s="46"/>
      <c r="AD10" s="46"/>
      <c r="AE10" s="46"/>
      <c r="AF10" s="46"/>
      <c r="AG10" s="46"/>
      <c r="AH10" s="46"/>
      <c r="AI10" s="46"/>
      <c r="AJ10" s="46"/>
      <c r="AK10" s="46"/>
      <c r="AL10" s="46"/>
    </row>
    <row r="11" ht="23.25" customHeight="1">
      <c r="A11" s="40" t="s">
        <v>117</v>
      </c>
      <c r="B11" s="40">
        <v>2250.0</v>
      </c>
      <c r="C11" s="40"/>
      <c r="D11" s="41"/>
      <c r="E11" s="40"/>
      <c r="F11" s="40"/>
      <c r="G11" s="40"/>
      <c r="H11" s="40"/>
      <c r="I11" s="40"/>
      <c r="J11" s="40"/>
      <c r="K11" s="40"/>
      <c r="L11" s="40"/>
      <c r="M11" s="40"/>
      <c r="N11" s="40"/>
      <c r="O11" s="40"/>
      <c r="P11" s="40" t="s">
        <v>105</v>
      </c>
      <c r="Q11" s="40"/>
      <c r="R11" s="40"/>
      <c r="S11" s="39"/>
      <c r="T11" s="39"/>
      <c r="U11" s="39"/>
      <c r="V11" s="39"/>
      <c r="W11" s="39"/>
      <c r="X11" s="39"/>
      <c r="Y11" s="39"/>
      <c r="Z11" s="39"/>
      <c r="AA11" s="39"/>
      <c r="AB11" s="39"/>
      <c r="AC11" s="39"/>
      <c r="AD11" s="39"/>
      <c r="AE11" s="39"/>
      <c r="AF11" s="39"/>
      <c r="AG11" s="39"/>
      <c r="AH11" s="39"/>
      <c r="AI11" s="39"/>
      <c r="AJ11" s="39"/>
      <c r="AK11" s="39"/>
      <c r="AL11" s="39"/>
    </row>
    <row r="12" ht="14.25"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row>
    <row r="13" ht="14.25"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row>
    <row r="14" ht="14.25" customHeight="1">
      <c r="A14" s="39"/>
      <c r="B14" s="39"/>
      <c r="C14" s="39"/>
      <c r="D14" s="39"/>
      <c r="E14" s="39"/>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row>
    <row r="15" ht="14.25" customHeight="1">
      <c r="A15" s="39"/>
      <c r="B15" s="39"/>
      <c r="C15" s="39"/>
      <c r="D15" s="39"/>
      <c r="E15" s="39"/>
      <c r="F15" s="39"/>
      <c r="G15" s="39"/>
      <c r="H15" s="39"/>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row>
    <row r="16" ht="14.25" customHeight="1">
      <c r="A16" s="39"/>
      <c r="B16" s="39"/>
      <c r="C16" s="39"/>
      <c r="D16" s="39"/>
      <c r="E16" s="39"/>
      <c r="F16" s="39"/>
      <c r="G16" s="39"/>
      <c r="H16" s="39"/>
      <c r="I16" s="39"/>
      <c r="J16" s="39"/>
      <c r="K16" s="39"/>
      <c r="L16" s="39"/>
      <c r="M16" s="39"/>
      <c r="N16" s="39"/>
      <c r="O16" s="39"/>
      <c r="P16" s="39"/>
      <c r="Q16" s="39"/>
      <c r="R16" s="39"/>
      <c r="S16" s="39"/>
      <c r="T16" s="39"/>
      <c r="U16" s="39"/>
      <c r="V16" s="39"/>
      <c r="W16" s="39"/>
      <c r="X16" s="39"/>
      <c r="Y16" s="39"/>
      <c r="Z16" s="39"/>
      <c r="AA16" s="39"/>
      <c r="AB16" s="39"/>
      <c r="AC16" s="39"/>
      <c r="AD16" s="39"/>
      <c r="AE16" s="39"/>
      <c r="AF16" s="39"/>
      <c r="AG16" s="39"/>
      <c r="AH16" s="39"/>
      <c r="AI16" s="39"/>
      <c r="AJ16" s="39"/>
      <c r="AK16" s="39"/>
      <c r="AL16" s="39"/>
    </row>
    <row r="17" ht="14.25" customHeight="1">
      <c r="A17" s="39"/>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row>
    <row r="18" ht="14.25" customHeight="1">
      <c r="A18" s="39"/>
      <c r="B18" s="39"/>
      <c r="C18" s="39"/>
      <c r="D18" s="39"/>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39"/>
      <c r="AK18" s="39"/>
      <c r="AL18" s="39"/>
    </row>
    <row r="19" ht="14.25" customHeight="1">
      <c r="A19" s="39"/>
      <c r="B19" s="39"/>
      <c r="C19" s="39"/>
      <c r="D19" s="39"/>
      <c r="E19" s="39"/>
      <c r="F19" s="39"/>
      <c r="G19" s="39"/>
      <c r="H19" s="39"/>
      <c r="I19" s="39"/>
      <c r="J19" s="39"/>
      <c r="K19" s="39"/>
      <c r="L19" s="39"/>
      <c r="M19" s="39"/>
      <c r="N19" s="39"/>
      <c r="O19" s="39"/>
      <c r="P19" s="39"/>
      <c r="Q19" s="39"/>
      <c r="R19" s="39"/>
      <c r="S19" s="39"/>
      <c r="T19" s="39"/>
      <c r="U19" s="39"/>
      <c r="V19" s="39"/>
      <c r="W19" s="39"/>
      <c r="X19" s="39"/>
      <c r="Y19" s="39"/>
      <c r="Z19" s="39"/>
      <c r="AA19" s="39"/>
      <c r="AB19" s="39"/>
      <c r="AC19" s="39"/>
      <c r="AD19" s="39"/>
      <c r="AE19" s="39"/>
      <c r="AF19" s="39"/>
      <c r="AG19" s="39"/>
      <c r="AH19" s="39"/>
      <c r="AI19" s="39"/>
      <c r="AJ19" s="39"/>
      <c r="AK19" s="39"/>
      <c r="AL19" s="39"/>
    </row>
    <row r="20" ht="14.25" customHeight="1">
      <c r="A20" s="39"/>
      <c r="B20" s="39"/>
      <c r="C20" s="39"/>
      <c r="D20" s="39"/>
      <c r="E20" s="39"/>
      <c r="F20" s="39"/>
      <c r="G20" s="39"/>
      <c r="H20" s="39"/>
      <c r="I20" s="39"/>
      <c r="J20" s="39"/>
      <c r="K20" s="39"/>
      <c r="L20" s="39"/>
      <c r="M20" s="39"/>
      <c r="N20" s="39"/>
      <c r="O20" s="39"/>
      <c r="P20" s="39"/>
      <c r="Q20" s="39"/>
      <c r="R20" s="39"/>
      <c r="S20" s="39"/>
      <c r="T20" s="39"/>
      <c r="U20" s="39"/>
      <c r="V20" s="39"/>
      <c r="W20" s="39"/>
      <c r="X20" s="39"/>
      <c r="Y20" s="39"/>
      <c r="Z20" s="39"/>
      <c r="AA20" s="39"/>
      <c r="AB20" s="39"/>
      <c r="AC20" s="39"/>
      <c r="AD20" s="39"/>
      <c r="AE20" s="39"/>
      <c r="AF20" s="39"/>
      <c r="AG20" s="39"/>
      <c r="AH20" s="39"/>
      <c r="AI20" s="39"/>
      <c r="AJ20" s="39"/>
      <c r="AK20" s="39"/>
      <c r="AL20" s="39"/>
    </row>
    <row r="21" ht="14.25" customHeight="1">
      <c r="A21" s="39"/>
      <c r="B21" s="39"/>
      <c r="C21" s="39"/>
      <c r="D21" s="39"/>
      <c r="E21" s="39"/>
      <c r="F21" s="39"/>
      <c r="G21" s="39"/>
      <c r="H21" s="39"/>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9"/>
      <c r="AK21" s="39"/>
      <c r="AL21" s="39"/>
    </row>
    <row r="22" ht="14.25" customHeight="1">
      <c r="A22" s="39"/>
      <c r="B22" s="39"/>
      <c r="C22" s="39"/>
      <c r="D22" s="39"/>
      <c r="E22" s="39"/>
      <c r="F22" s="39"/>
      <c r="G22" s="39"/>
      <c r="H22" s="39"/>
      <c r="I22" s="39"/>
      <c r="J22" s="39"/>
      <c r="K22" s="39"/>
      <c r="L22" s="39"/>
      <c r="M22" s="39"/>
      <c r="N22" s="39"/>
      <c r="O22" s="39"/>
      <c r="P22" s="39"/>
      <c r="Q22" s="39"/>
      <c r="R22" s="39"/>
      <c r="S22" s="39"/>
      <c r="T22" s="39"/>
      <c r="U22" s="39"/>
      <c r="V22" s="39"/>
      <c r="W22" s="39"/>
      <c r="X22" s="39"/>
      <c r="Y22" s="39"/>
      <c r="Z22" s="39"/>
      <c r="AA22" s="39"/>
      <c r="AB22" s="39"/>
      <c r="AC22" s="39"/>
      <c r="AD22" s="39"/>
      <c r="AE22" s="39"/>
      <c r="AF22" s="39"/>
      <c r="AG22" s="39"/>
      <c r="AH22" s="39"/>
      <c r="AI22" s="39"/>
      <c r="AJ22" s="39"/>
      <c r="AK22" s="39"/>
      <c r="AL22" s="39"/>
    </row>
    <row r="23" ht="14.25" customHeight="1">
      <c r="A23" s="39"/>
      <c r="B23" s="39"/>
      <c r="C23" s="39"/>
      <c r="D23" s="39"/>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39"/>
      <c r="AE23" s="39"/>
      <c r="AF23" s="39"/>
      <c r="AG23" s="39"/>
      <c r="AH23" s="39"/>
      <c r="AI23" s="39"/>
      <c r="AJ23" s="39"/>
      <c r="AK23" s="39"/>
      <c r="AL23" s="39"/>
    </row>
    <row r="24" ht="14.25" customHeight="1">
      <c r="A24" s="39"/>
      <c r="B24" s="39"/>
      <c r="C24" s="39"/>
      <c r="D24" s="39"/>
      <c r="E24" s="39"/>
      <c r="F24" s="39"/>
      <c r="G24" s="39"/>
      <c r="H24" s="39"/>
      <c r="I24" s="39"/>
      <c r="J24" s="39"/>
      <c r="K24" s="39"/>
      <c r="L24" s="39"/>
      <c r="M24" s="39"/>
      <c r="N24" s="39"/>
      <c r="O24" s="39"/>
      <c r="P24" s="39"/>
      <c r="Q24" s="39"/>
      <c r="R24" s="39"/>
      <c r="S24" s="39"/>
      <c r="T24" s="39"/>
      <c r="U24" s="39"/>
      <c r="V24" s="39"/>
      <c r="W24" s="39"/>
      <c r="X24" s="39"/>
      <c r="Y24" s="39"/>
      <c r="Z24" s="39"/>
      <c r="AA24" s="39"/>
      <c r="AB24" s="39"/>
      <c r="AC24" s="39"/>
      <c r="AD24" s="39"/>
      <c r="AE24" s="39"/>
      <c r="AF24" s="39"/>
      <c r="AG24" s="39"/>
      <c r="AH24" s="39"/>
      <c r="AI24" s="39"/>
      <c r="AJ24" s="39"/>
      <c r="AK24" s="39"/>
      <c r="AL24" s="39"/>
    </row>
    <row r="25" ht="14.25" customHeight="1">
      <c r="A25" s="39"/>
      <c r="B25" s="39"/>
      <c r="C25" s="39"/>
      <c r="D25" s="39"/>
      <c r="E25" s="39"/>
      <c r="F25" s="39"/>
      <c r="G25" s="39"/>
      <c r="H25" s="39"/>
      <c r="I25" s="39"/>
      <c r="J25" s="39"/>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row>
    <row r="26" ht="14.25" customHeight="1">
      <c r="A26" s="39"/>
      <c r="B26" s="39"/>
      <c r="C26" s="39"/>
      <c r="D26" s="39"/>
      <c r="E26" s="39"/>
      <c r="F26" s="39"/>
      <c r="G26" s="39"/>
      <c r="H26" s="39"/>
      <c r="I26" s="39"/>
      <c r="J26" s="39"/>
      <c r="K26" s="39"/>
      <c r="L26" s="39"/>
      <c r="M26" s="39"/>
      <c r="N26" s="39"/>
      <c r="O26" s="39"/>
      <c r="P26" s="39"/>
      <c r="Q26" s="39"/>
      <c r="R26" s="39"/>
      <c r="S26" s="39"/>
      <c r="T26" s="39"/>
      <c r="U26" s="39"/>
      <c r="V26" s="39"/>
      <c r="W26" s="39"/>
      <c r="X26" s="39"/>
      <c r="Y26" s="39"/>
      <c r="Z26" s="39"/>
      <c r="AA26" s="39"/>
      <c r="AB26" s="39"/>
      <c r="AC26" s="39"/>
      <c r="AD26" s="39"/>
      <c r="AE26" s="39"/>
      <c r="AF26" s="39"/>
      <c r="AG26" s="39"/>
      <c r="AH26" s="39"/>
      <c r="AI26" s="39"/>
      <c r="AJ26" s="39"/>
      <c r="AK26" s="39"/>
      <c r="AL26" s="39"/>
    </row>
    <row r="27" ht="14.25" customHeight="1">
      <c r="A27" s="39"/>
      <c r="B27" s="39"/>
      <c r="C27" s="39"/>
      <c r="D27" s="39"/>
      <c r="E27" s="39"/>
      <c r="F27" s="39"/>
      <c r="G27" s="39"/>
      <c r="H27" s="39"/>
      <c r="I27" s="39"/>
      <c r="J27" s="39"/>
      <c r="K27" s="39"/>
      <c r="L27" s="39"/>
      <c r="M27" s="39"/>
      <c r="N27" s="39"/>
      <c r="O27" s="39"/>
      <c r="P27" s="39"/>
      <c r="Q27" s="39"/>
      <c r="R27" s="39"/>
      <c r="S27" s="39"/>
      <c r="T27" s="39"/>
      <c r="U27" s="39"/>
      <c r="V27" s="39"/>
      <c r="W27" s="39"/>
      <c r="X27" s="39"/>
      <c r="Y27" s="39"/>
      <c r="Z27" s="39"/>
      <c r="AA27" s="39"/>
      <c r="AB27" s="39"/>
      <c r="AC27" s="39"/>
      <c r="AD27" s="39"/>
      <c r="AE27" s="39"/>
      <c r="AF27" s="39"/>
      <c r="AG27" s="39"/>
      <c r="AH27" s="39"/>
      <c r="AI27" s="39"/>
      <c r="AJ27" s="39"/>
      <c r="AK27" s="39"/>
      <c r="AL27" s="39"/>
    </row>
    <row r="28" ht="14.25" customHeight="1">
      <c r="A28" s="39"/>
      <c r="B28" s="39"/>
      <c r="C28" s="39"/>
      <c r="D28" s="39"/>
      <c r="E28" s="39"/>
      <c r="F28" s="39"/>
      <c r="G28" s="39"/>
      <c r="H28" s="39"/>
      <c r="I28" s="39"/>
      <c r="J28" s="39"/>
      <c r="K28" s="39"/>
      <c r="L28" s="39"/>
      <c r="M28" s="39"/>
      <c r="N28" s="39"/>
      <c r="O28" s="39"/>
      <c r="P28" s="39"/>
      <c r="Q28" s="39"/>
      <c r="R28" s="39"/>
      <c r="S28" s="39"/>
      <c r="T28" s="39"/>
      <c r="U28" s="39"/>
      <c r="V28" s="39"/>
      <c r="W28" s="39"/>
      <c r="X28" s="39"/>
      <c r="Y28" s="39"/>
      <c r="Z28" s="39"/>
      <c r="AA28" s="39"/>
      <c r="AB28" s="39"/>
      <c r="AC28" s="39"/>
      <c r="AD28" s="39"/>
      <c r="AE28" s="39"/>
      <c r="AF28" s="39"/>
      <c r="AG28" s="39"/>
      <c r="AH28" s="39"/>
      <c r="AI28" s="39"/>
      <c r="AJ28" s="39"/>
      <c r="AK28" s="39"/>
      <c r="AL28" s="39"/>
    </row>
    <row r="29" ht="14.25" customHeight="1">
      <c r="A29" s="39"/>
      <c r="B29" s="39"/>
      <c r="C29" s="39"/>
      <c r="D29" s="39"/>
      <c r="E29" s="39"/>
      <c r="F29" s="39"/>
      <c r="G29" s="39"/>
      <c r="H29" s="39"/>
      <c r="I29" s="39"/>
      <c r="J29" s="39"/>
      <c r="K29" s="39"/>
      <c r="L29" s="39"/>
      <c r="M29" s="39"/>
      <c r="N29" s="39"/>
      <c r="O29" s="39"/>
      <c r="P29" s="39"/>
      <c r="Q29" s="39"/>
      <c r="R29" s="39"/>
      <c r="S29" s="39"/>
      <c r="T29" s="39"/>
      <c r="U29" s="39"/>
      <c r="V29" s="39"/>
      <c r="W29" s="39"/>
      <c r="X29" s="39"/>
      <c r="Y29" s="39"/>
      <c r="Z29" s="39"/>
      <c r="AA29" s="39"/>
      <c r="AB29" s="39"/>
      <c r="AC29" s="39"/>
      <c r="AD29" s="39"/>
      <c r="AE29" s="39"/>
      <c r="AF29" s="39"/>
      <c r="AG29" s="39"/>
      <c r="AH29" s="39"/>
      <c r="AI29" s="39"/>
      <c r="AJ29" s="39"/>
      <c r="AK29" s="39"/>
      <c r="AL29" s="39"/>
    </row>
    <row r="30" ht="14.25" customHeight="1">
      <c r="A30" s="39"/>
      <c r="B30" s="39"/>
      <c r="C30" s="39"/>
      <c r="D30" s="39"/>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row>
    <row r="31" ht="14.25" customHeight="1">
      <c r="A31" s="39"/>
      <c r="B31" s="39"/>
      <c r="C31" s="39"/>
      <c r="D31" s="39"/>
      <c r="E31" s="39"/>
      <c r="F31" s="39"/>
      <c r="G31" s="39"/>
      <c r="H31" s="39"/>
      <c r="I31" s="39"/>
      <c r="J31" s="39"/>
      <c r="K31" s="39"/>
      <c r="L31" s="39"/>
      <c r="M31" s="39"/>
      <c r="N31" s="39"/>
      <c r="O31" s="39"/>
      <c r="P31" s="39"/>
      <c r="Q31" s="39"/>
      <c r="R31" s="39"/>
      <c r="S31" s="39"/>
      <c r="T31" s="39"/>
      <c r="U31" s="39"/>
      <c r="V31" s="39"/>
      <c r="W31" s="39"/>
      <c r="X31" s="39"/>
      <c r="Y31" s="39"/>
      <c r="Z31" s="39"/>
      <c r="AA31" s="39"/>
      <c r="AB31" s="39"/>
      <c r="AC31" s="39"/>
      <c r="AD31" s="39"/>
      <c r="AE31" s="39"/>
      <c r="AF31" s="39"/>
      <c r="AG31" s="39"/>
      <c r="AH31" s="39"/>
      <c r="AI31" s="39"/>
      <c r="AJ31" s="39"/>
      <c r="AK31" s="39"/>
      <c r="AL31" s="39"/>
    </row>
    <row r="32" ht="14.25" customHeight="1">
      <c r="A32" s="39"/>
      <c r="B32" s="39"/>
      <c r="C32" s="39"/>
      <c r="D32" s="39"/>
      <c r="E32" s="39"/>
      <c r="F32" s="39"/>
      <c r="G32" s="39"/>
      <c r="H32" s="39"/>
      <c r="I32" s="39"/>
      <c r="J32" s="39"/>
      <c r="K32" s="39"/>
      <c r="L32" s="39"/>
      <c r="M32" s="39"/>
      <c r="N32" s="39"/>
      <c r="O32" s="39"/>
      <c r="P32" s="39"/>
      <c r="Q32" s="39"/>
      <c r="R32" s="39"/>
      <c r="S32" s="39"/>
      <c r="T32" s="39"/>
      <c r="U32" s="39"/>
      <c r="V32" s="39"/>
      <c r="W32" s="39"/>
      <c r="X32" s="39"/>
      <c r="Y32" s="39"/>
      <c r="Z32" s="39"/>
      <c r="AA32" s="39"/>
      <c r="AB32" s="39"/>
      <c r="AC32" s="39"/>
      <c r="AD32" s="39"/>
      <c r="AE32" s="39"/>
      <c r="AF32" s="39"/>
      <c r="AG32" s="39"/>
      <c r="AH32" s="39"/>
      <c r="AI32" s="39"/>
      <c r="AJ32" s="39"/>
      <c r="AK32" s="39"/>
      <c r="AL32" s="39"/>
    </row>
    <row r="33" ht="14.25" customHeight="1">
      <c r="A33" s="39"/>
      <c r="B33" s="39"/>
      <c r="C33" s="39"/>
      <c r="D33" s="39"/>
      <c r="E33" s="39"/>
      <c r="F33" s="39"/>
      <c r="G33" s="39"/>
      <c r="H33" s="39"/>
      <c r="I33" s="39"/>
      <c r="J33" s="39"/>
      <c r="K33" s="39"/>
      <c r="L33" s="39"/>
      <c r="M33" s="39"/>
      <c r="N33" s="39"/>
      <c r="O33" s="39"/>
      <c r="P33" s="39"/>
      <c r="Q33" s="39"/>
      <c r="R33" s="39"/>
      <c r="S33" s="39"/>
      <c r="T33" s="39"/>
      <c r="U33" s="39"/>
      <c r="V33" s="39"/>
      <c r="W33" s="39"/>
      <c r="X33" s="39"/>
      <c r="Y33" s="39"/>
      <c r="Z33" s="39"/>
      <c r="AA33" s="39"/>
      <c r="AB33" s="39"/>
      <c r="AC33" s="39"/>
      <c r="AD33" s="39"/>
      <c r="AE33" s="39"/>
      <c r="AF33" s="39"/>
      <c r="AG33" s="39"/>
      <c r="AH33" s="39"/>
      <c r="AI33" s="39"/>
      <c r="AJ33" s="39"/>
      <c r="AK33" s="39"/>
      <c r="AL33" s="39"/>
    </row>
    <row r="34" ht="14.25" customHeight="1">
      <c r="A34" s="39"/>
      <c r="B34" s="39"/>
      <c r="C34" s="39"/>
      <c r="D34" s="39"/>
      <c r="E34" s="39"/>
      <c r="F34" s="39"/>
      <c r="G34" s="39"/>
      <c r="H34" s="39"/>
      <c r="I34" s="39"/>
      <c r="J34" s="39"/>
      <c r="K34" s="39"/>
      <c r="L34" s="39"/>
      <c r="M34" s="39"/>
      <c r="N34" s="39"/>
      <c r="O34" s="39"/>
      <c r="P34" s="39"/>
      <c r="Q34" s="39"/>
      <c r="R34" s="39"/>
      <c r="S34" s="39"/>
      <c r="T34" s="39"/>
      <c r="U34" s="39"/>
      <c r="V34" s="39"/>
      <c r="W34" s="39"/>
      <c r="X34" s="39"/>
      <c r="Y34" s="39"/>
      <c r="Z34" s="39"/>
      <c r="AA34" s="39"/>
      <c r="AB34" s="39"/>
      <c r="AC34" s="39"/>
      <c r="AD34" s="39"/>
      <c r="AE34" s="39"/>
      <c r="AF34" s="39"/>
      <c r="AG34" s="39"/>
      <c r="AH34" s="39"/>
      <c r="AI34" s="39"/>
      <c r="AJ34" s="39"/>
      <c r="AK34" s="39"/>
      <c r="AL34" s="39"/>
    </row>
    <row r="35" ht="14.25" customHeight="1">
      <c r="A35" s="39"/>
      <c r="B35" s="39"/>
      <c r="C35" s="39"/>
      <c r="D35" s="39"/>
      <c r="E35" s="39"/>
      <c r="F35" s="39"/>
      <c r="G35" s="39"/>
      <c r="H35" s="39"/>
      <c r="I35" s="39"/>
      <c r="J35" s="39"/>
      <c r="K35" s="39"/>
      <c r="L35" s="39"/>
      <c r="M35" s="39"/>
      <c r="N35" s="39"/>
      <c r="O35" s="39"/>
      <c r="P35" s="39"/>
      <c r="Q35" s="39"/>
      <c r="R35" s="39"/>
      <c r="S35" s="39"/>
      <c r="T35" s="39"/>
      <c r="U35" s="39"/>
      <c r="V35" s="39"/>
      <c r="W35" s="39"/>
      <c r="X35" s="39"/>
      <c r="Y35" s="39"/>
      <c r="Z35" s="39"/>
      <c r="AA35" s="39"/>
      <c r="AB35" s="39"/>
      <c r="AC35" s="39"/>
      <c r="AD35" s="39"/>
      <c r="AE35" s="39"/>
      <c r="AF35" s="39"/>
      <c r="AG35" s="39"/>
      <c r="AH35" s="39"/>
      <c r="AI35" s="39"/>
      <c r="AJ35" s="39"/>
      <c r="AK35" s="39"/>
      <c r="AL35" s="39"/>
    </row>
    <row r="36" ht="14.25" customHeight="1">
      <c r="A36" s="39"/>
      <c r="B36" s="39"/>
      <c r="C36" s="39"/>
      <c r="D36" s="39"/>
      <c r="E36" s="39"/>
      <c r="F36" s="39"/>
      <c r="G36" s="39"/>
      <c r="H36" s="39"/>
      <c r="I36" s="39"/>
      <c r="J36" s="39"/>
      <c r="K36" s="39"/>
      <c r="L36" s="39"/>
      <c r="M36" s="39"/>
      <c r="N36" s="39"/>
      <c r="O36" s="39"/>
      <c r="P36" s="39"/>
      <c r="Q36" s="39"/>
      <c r="R36" s="39"/>
      <c r="S36" s="39"/>
      <c r="T36" s="39"/>
      <c r="U36" s="39"/>
      <c r="V36" s="39"/>
      <c r="W36" s="39"/>
      <c r="X36" s="39"/>
      <c r="Y36" s="39"/>
      <c r="Z36" s="39"/>
      <c r="AA36" s="39"/>
      <c r="AB36" s="39"/>
      <c r="AC36" s="39"/>
      <c r="AD36" s="39"/>
      <c r="AE36" s="39"/>
      <c r="AF36" s="39"/>
      <c r="AG36" s="39"/>
      <c r="AH36" s="39"/>
      <c r="AI36" s="39"/>
      <c r="AJ36" s="39"/>
      <c r="AK36" s="39"/>
      <c r="AL36" s="39"/>
    </row>
    <row r="37" ht="14.25" customHeight="1">
      <c r="A37" s="39"/>
      <c r="B37" s="39"/>
      <c r="C37" s="39"/>
      <c r="D37" s="39"/>
      <c r="E37" s="39"/>
      <c r="F37" s="39"/>
      <c r="G37" s="39"/>
      <c r="H37" s="39"/>
      <c r="I37" s="39"/>
      <c r="J37" s="39"/>
      <c r="K37" s="39"/>
      <c r="L37" s="39"/>
      <c r="M37" s="39"/>
      <c r="N37" s="39"/>
      <c r="O37" s="39"/>
      <c r="P37" s="39"/>
      <c r="Q37" s="39"/>
      <c r="R37" s="39"/>
      <c r="S37" s="39"/>
      <c r="T37" s="39"/>
      <c r="U37" s="39"/>
      <c r="V37" s="39"/>
      <c r="W37" s="39"/>
      <c r="X37" s="39"/>
      <c r="Y37" s="39"/>
      <c r="Z37" s="39"/>
      <c r="AA37" s="39"/>
      <c r="AB37" s="39"/>
      <c r="AC37" s="39"/>
      <c r="AD37" s="39"/>
      <c r="AE37" s="39"/>
      <c r="AF37" s="39"/>
      <c r="AG37" s="39"/>
      <c r="AH37" s="39"/>
      <c r="AI37" s="39"/>
      <c r="AJ37" s="39"/>
      <c r="AK37" s="39"/>
      <c r="AL37" s="39"/>
    </row>
    <row r="38" ht="14.25" customHeight="1">
      <c r="A38" s="39"/>
      <c r="B38" s="39"/>
      <c r="C38" s="39"/>
      <c r="D38" s="39"/>
      <c r="E38" s="39"/>
      <c r="F38" s="39"/>
      <c r="G38" s="39"/>
      <c r="H38" s="39"/>
      <c r="I38" s="39"/>
      <c r="J38" s="39"/>
      <c r="K38" s="39"/>
      <c r="L38" s="39"/>
      <c r="M38" s="39"/>
      <c r="N38" s="39"/>
      <c r="O38" s="39"/>
      <c r="P38" s="39"/>
      <c r="Q38" s="39"/>
      <c r="R38" s="39"/>
      <c r="S38" s="39"/>
      <c r="T38" s="39"/>
      <c r="U38" s="39"/>
      <c r="V38" s="39"/>
      <c r="W38" s="39"/>
      <c r="X38" s="39"/>
      <c r="Y38" s="39"/>
      <c r="Z38" s="39"/>
      <c r="AA38" s="39"/>
      <c r="AB38" s="39"/>
      <c r="AC38" s="39"/>
      <c r="AD38" s="39"/>
      <c r="AE38" s="39"/>
      <c r="AF38" s="39"/>
      <c r="AG38" s="39"/>
      <c r="AH38" s="39"/>
      <c r="AI38" s="39"/>
      <c r="AJ38" s="39"/>
      <c r="AK38" s="39"/>
      <c r="AL38" s="39"/>
    </row>
    <row r="39" ht="14.25" customHeight="1">
      <c r="A39" s="39"/>
      <c r="B39" s="39"/>
      <c r="C39" s="39"/>
      <c r="D39" s="39"/>
      <c r="E39" s="39"/>
      <c r="F39" s="39"/>
      <c r="G39" s="39"/>
      <c r="H39" s="39"/>
      <c r="I39" s="39"/>
      <c r="J39" s="39"/>
      <c r="K39" s="39"/>
      <c r="L39" s="39"/>
      <c r="M39" s="39"/>
      <c r="N39" s="39"/>
      <c r="O39" s="39"/>
      <c r="P39" s="39"/>
      <c r="Q39" s="39"/>
      <c r="R39" s="39"/>
      <c r="S39" s="39"/>
      <c r="T39" s="39"/>
      <c r="U39" s="39"/>
      <c r="V39" s="39"/>
      <c r="W39" s="39"/>
      <c r="X39" s="39"/>
      <c r="Y39" s="39"/>
      <c r="Z39" s="39"/>
      <c r="AA39" s="39"/>
      <c r="AB39" s="39"/>
      <c r="AC39" s="39"/>
      <c r="AD39" s="39"/>
      <c r="AE39" s="39"/>
      <c r="AF39" s="39"/>
      <c r="AG39" s="39"/>
      <c r="AH39" s="39"/>
      <c r="AI39" s="39"/>
      <c r="AJ39" s="39"/>
      <c r="AK39" s="39"/>
      <c r="AL39" s="39"/>
    </row>
    <row r="40" ht="14.25" customHeight="1">
      <c r="A40" s="39"/>
      <c r="B40" s="39"/>
      <c r="C40" s="39"/>
      <c r="D40" s="39"/>
      <c r="E40" s="39"/>
      <c r="F40" s="39"/>
      <c r="G40" s="39"/>
      <c r="H40" s="39"/>
      <c r="I40" s="39"/>
      <c r="J40" s="39"/>
      <c r="K40" s="39"/>
      <c r="L40" s="39"/>
      <c r="M40" s="39"/>
      <c r="N40" s="39"/>
      <c r="O40" s="39"/>
      <c r="P40" s="39"/>
      <c r="Q40" s="39"/>
      <c r="R40" s="39"/>
      <c r="S40" s="39"/>
      <c r="T40" s="39"/>
      <c r="U40" s="39"/>
      <c r="V40" s="39"/>
      <c r="W40" s="39"/>
      <c r="X40" s="39"/>
      <c r="Y40" s="39"/>
      <c r="Z40" s="39"/>
      <c r="AA40" s="39"/>
      <c r="AB40" s="39"/>
      <c r="AC40" s="39"/>
      <c r="AD40" s="39"/>
      <c r="AE40" s="39"/>
      <c r="AF40" s="39"/>
      <c r="AG40" s="39"/>
      <c r="AH40" s="39"/>
      <c r="AI40" s="39"/>
      <c r="AJ40" s="39"/>
      <c r="AK40" s="39"/>
      <c r="AL40" s="39"/>
    </row>
    <row r="41" ht="14.25" customHeight="1">
      <c r="A41" s="39"/>
      <c r="B41" s="39"/>
      <c r="C41" s="39"/>
      <c r="D41" s="39"/>
      <c r="E41" s="39"/>
      <c r="F41" s="39"/>
      <c r="G41" s="39"/>
      <c r="H41" s="39"/>
      <c r="I41" s="39"/>
      <c r="J41" s="39"/>
      <c r="K41" s="39"/>
      <c r="L41" s="39"/>
      <c r="M41" s="39"/>
      <c r="N41" s="39"/>
      <c r="O41" s="39"/>
      <c r="P41" s="39"/>
      <c r="Q41" s="39"/>
      <c r="R41" s="39"/>
      <c r="S41" s="39"/>
      <c r="T41" s="39"/>
      <c r="U41" s="39"/>
      <c r="V41" s="39"/>
      <c r="W41" s="39"/>
      <c r="X41" s="39"/>
      <c r="Y41" s="39"/>
      <c r="Z41" s="39"/>
      <c r="AA41" s="39"/>
      <c r="AB41" s="39"/>
      <c r="AC41" s="39"/>
      <c r="AD41" s="39"/>
      <c r="AE41" s="39"/>
      <c r="AF41" s="39"/>
      <c r="AG41" s="39"/>
      <c r="AH41" s="39"/>
      <c r="AI41" s="39"/>
      <c r="AJ41" s="39"/>
      <c r="AK41" s="39"/>
      <c r="AL41" s="39"/>
    </row>
    <row r="42" ht="14.25" customHeight="1">
      <c r="A42" s="39"/>
      <c r="B42" s="39"/>
      <c r="C42" s="39"/>
      <c r="D42" s="39"/>
      <c r="E42" s="39"/>
      <c r="F42" s="39"/>
      <c r="G42" s="39"/>
      <c r="H42" s="39"/>
      <c r="I42" s="39"/>
      <c r="J42" s="39"/>
      <c r="K42" s="39"/>
      <c r="L42" s="39"/>
      <c r="M42" s="39"/>
      <c r="N42" s="39"/>
      <c r="O42" s="39"/>
      <c r="P42" s="39"/>
      <c r="Q42" s="39"/>
      <c r="R42" s="39"/>
      <c r="S42" s="39"/>
      <c r="T42" s="39"/>
      <c r="U42" s="39"/>
      <c r="V42" s="39"/>
      <c r="W42" s="39"/>
      <c r="X42" s="39"/>
      <c r="Y42" s="39"/>
      <c r="Z42" s="39"/>
      <c r="AA42" s="39"/>
      <c r="AB42" s="39"/>
      <c r="AC42" s="39"/>
      <c r="AD42" s="39"/>
      <c r="AE42" s="39"/>
      <c r="AF42" s="39"/>
      <c r="AG42" s="39"/>
      <c r="AH42" s="39"/>
      <c r="AI42" s="39"/>
      <c r="AJ42" s="39"/>
      <c r="AK42" s="39"/>
      <c r="AL42" s="39"/>
    </row>
    <row r="43" ht="14.25" customHeight="1">
      <c r="A43" s="39"/>
      <c r="B43" s="39"/>
      <c r="C43" s="39"/>
      <c r="D43" s="39"/>
      <c r="E43" s="39"/>
      <c r="F43" s="39"/>
      <c r="G43" s="39"/>
      <c r="H43" s="39"/>
      <c r="I43" s="39"/>
      <c r="J43" s="39"/>
      <c r="K43" s="39"/>
      <c r="L43" s="39"/>
      <c r="M43" s="39"/>
      <c r="N43" s="39"/>
      <c r="O43" s="39"/>
      <c r="P43" s="39"/>
      <c r="Q43" s="39"/>
      <c r="R43" s="39"/>
      <c r="S43" s="39"/>
      <c r="T43" s="39"/>
      <c r="U43" s="39"/>
      <c r="V43" s="39"/>
      <c r="W43" s="39"/>
      <c r="X43" s="39"/>
      <c r="Y43" s="39"/>
      <c r="Z43" s="39"/>
      <c r="AA43" s="39"/>
      <c r="AB43" s="39"/>
      <c r="AC43" s="39"/>
      <c r="AD43" s="39"/>
      <c r="AE43" s="39"/>
      <c r="AF43" s="39"/>
      <c r="AG43" s="39"/>
      <c r="AH43" s="39"/>
      <c r="AI43" s="39"/>
      <c r="AJ43" s="39"/>
      <c r="AK43" s="39"/>
      <c r="AL43" s="39"/>
    </row>
    <row r="44" ht="14.25" customHeight="1">
      <c r="A44" s="39"/>
      <c r="B44" s="39"/>
      <c r="C44" s="39"/>
      <c r="D44" s="39"/>
      <c r="E44" s="39"/>
      <c r="F44" s="39"/>
      <c r="G44" s="39"/>
      <c r="H44" s="39"/>
      <c r="I44" s="39"/>
      <c r="J44" s="39"/>
      <c r="K44" s="39"/>
      <c r="L44" s="39"/>
      <c r="M44" s="39"/>
      <c r="N44" s="39"/>
      <c r="O44" s="39"/>
      <c r="P44" s="39"/>
      <c r="Q44" s="39"/>
      <c r="R44" s="39"/>
      <c r="S44" s="39"/>
      <c r="T44" s="39"/>
      <c r="U44" s="39"/>
      <c r="V44" s="39"/>
      <c r="W44" s="39"/>
      <c r="X44" s="39"/>
      <c r="Y44" s="39"/>
      <c r="Z44" s="39"/>
      <c r="AA44" s="39"/>
      <c r="AB44" s="39"/>
      <c r="AC44" s="39"/>
      <c r="AD44" s="39"/>
      <c r="AE44" s="39"/>
      <c r="AF44" s="39"/>
      <c r="AG44" s="39"/>
      <c r="AH44" s="39"/>
      <c r="AI44" s="39"/>
      <c r="AJ44" s="39"/>
      <c r="AK44" s="39"/>
      <c r="AL44" s="39"/>
    </row>
    <row r="45" ht="14.25" customHeight="1">
      <c r="A45" s="39"/>
      <c r="B45" s="39"/>
      <c r="C45" s="39"/>
      <c r="D45" s="39"/>
      <c r="E45" s="39"/>
      <c r="F45" s="39"/>
      <c r="G45" s="39"/>
      <c r="H45" s="39"/>
      <c r="I45" s="39"/>
      <c r="J45" s="39"/>
      <c r="K45" s="39"/>
      <c r="L45" s="39"/>
      <c r="M45" s="39"/>
      <c r="N45" s="39"/>
      <c r="O45" s="39"/>
      <c r="P45" s="39"/>
      <c r="Q45" s="39"/>
      <c r="R45" s="39"/>
      <c r="S45" s="39"/>
      <c r="T45" s="39"/>
      <c r="U45" s="39"/>
      <c r="V45" s="39"/>
      <c r="W45" s="39"/>
      <c r="X45" s="39"/>
      <c r="Y45" s="39"/>
      <c r="Z45" s="39"/>
      <c r="AA45" s="39"/>
      <c r="AB45" s="39"/>
      <c r="AC45" s="39"/>
      <c r="AD45" s="39"/>
      <c r="AE45" s="39"/>
      <c r="AF45" s="39"/>
      <c r="AG45" s="39"/>
      <c r="AH45" s="39"/>
      <c r="AI45" s="39"/>
      <c r="AJ45" s="39"/>
      <c r="AK45" s="39"/>
      <c r="AL45" s="39"/>
    </row>
    <row r="46" ht="14.25" customHeight="1">
      <c r="A46" s="39"/>
      <c r="B46" s="39"/>
      <c r="C46" s="39"/>
      <c r="D46" s="39"/>
      <c r="E46" s="39"/>
      <c r="F46" s="39"/>
      <c r="G46" s="39"/>
      <c r="H46" s="39"/>
      <c r="I46" s="39"/>
      <c r="J46" s="39"/>
      <c r="K46" s="39"/>
      <c r="L46" s="39"/>
      <c r="M46" s="39"/>
      <c r="N46" s="39"/>
      <c r="O46" s="39"/>
      <c r="P46" s="39"/>
      <c r="Q46" s="39"/>
      <c r="R46" s="39"/>
      <c r="S46" s="39"/>
      <c r="T46" s="39"/>
      <c r="U46" s="39"/>
      <c r="V46" s="39"/>
      <c r="W46" s="39"/>
      <c r="X46" s="39"/>
      <c r="Y46" s="39"/>
      <c r="Z46" s="39"/>
      <c r="AA46" s="39"/>
      <c r="AB46" s="39"/>
      <c r="AC46" s="39"/>
      <c r="AD46" s="39"/>
      <c r="AE46" s="39"/>
      <c r="AF46" s="39"/>
      <c r="AG46" s="39"/>
      <c r="AH46" s="39"/>
      <c r="AI46" s="39"/>
      <c r="AJ46" s="39"/>
      <c r="AK46" s="39"/>
      <c r="AL46" s="39"/>
    </row>
    <row r="47" ht="14.25" customHeight="1">
      <c r="A47" s="39"/>
      <c r="B47" s="39"/>
      <c r="C47" s="39"/>
      <c r="D47" s="39"/>
      <c r="E47" s="39"/>
      <c r="F47" s="39"/>
      <c r="G47" s="39"/>
      <c r="H47" s="39"/>
      <c r="I47" s="39"/>
      <c r="J47" s="39"/>
      <c r="K47" s="39"/>
      <c r="L47" s="39"/>
      <c r="M47" s="39"/>
      <c r="N47" s="39"/>
      <c r="O47" s="39"/>
      <c r="P47" s="39"/>
      <c r="Q47" s="39"/>
      <c r="R47" s="39"/>
      <c r="S47" s="39"/>
      <c r="T47" s="39"/>
      <c r="U47" s="39"/>
      <c r="V47" s="39"/>
      <c r="W47" s="39"/>
      <c r="X47" s="39"/>
      <c r="Y47" s="39"/>
      <c r="Z47" s="39"/>
      <c r="AA47" s="39"/>
      <c r="AB47" s="39"/>
      <c r="AC47" s="39"/>
      <c r="AD47" s="39"/>
      <c r="AE47" s="39"/>
      <c r="AF47" s="39"/>
      <c r="AG47" s="39"/>
      <c r="AH47" s="39"/>
      <c r="AI47" s="39"/>
      <c r="AJ47" s="39"/>
      <c r="AK47" s="39"/>
      <c r="AL47" s="39"/>
    </row>
    <row r="48" ht="14.25" customHeight="1">
      <c r="A48" s="39"/>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c r="AB48" s="39"/>
      <c r="AC48" s="39"/>
      <c r="AD48" s="39"/>
      <c r="AE48" s="39"/>
      <c r="AF48" s="39"/>
      <c r="AG48" s="39"/>
      <c r="AH48" s="39"/>
      <c r="AI48" s="39"/>
      <c r="AJ48" s="39"/>
      <c r="AK48" s="39"/>
      <c r="AL48" s="39"/>
    </row>
    <row r="49" ht="14.25" customHeight="1">
      <c r="A49" s="39"/>
      <c r="B49" s="39"/>
      <c r="C49" s="39"/>
      <c r="D49" s="39"/>
      <c r="E49" s="39"/>
      <c r="F49" s="39"/>
      <c r="G49" s="39"/>
      <c r="H49" s="39"/>
      <c r="I49" s="39"/>
      <c r="J49" s="39"/>
      <c r="K49" s="39"/>
      <c r="L49" s="39"/>
      <c r="M49" s="39"/>
      <c r="N49" s="39"/>
      <c r="O49" s="39"/>
      <c r="P49" s="39"/>
      <c r="Q49" s="39"/>
      <c r="R49" s="39"/>
      <c r="S49" s="39"/>
      <c r="T49" s="39"/>
      <c r="U49" s="39"/>
      <c r="V49" s="39"/>
      <c r="W49" s="39"/>
      <c r="X49" s="39"/>
      <c r="Y49" s="39"/>
      <c r="Z49" s="39"/>
      <c r="AA49" s="39"/>
      <c r="AB49" s="39"/>
      <c r="AC49" s="39"/>
      <c r="AD49" s="39"/>
      <c r="AE49" s="39"/>
      <c r="AF49" s="39"/>
      <c r="AG49" s="39"/>
      <c r="AH49" s="39"/>
      <c r="AI49" s="39"/>
      <c r="AJ49" s="39"/>
      <c r="AK49" s="39"/>
      <c r="AL49" s="39"/>
    </row>
    <row r="50" ht="14.25" customHeight="1">
      <c r="A50" s="39"/>
      <c r="B50" s="39"/>
      <c r="C50" s="39"/>
      <c r="D50" s="39"/>
      <c r="E50" s="39"/>
      <c r="F50" s="39"/>
      <c r="G50" s="39"/>
      <c r="H50" s="39"/>
      <c r="I50" s="39"/>
      <c r="J50" s="39"/>
      <c r="K50" s="39"/>
      <c r="L50" s="39"/>
      <c r="M50" s="39"/>
      <c r="N50" s="39"/>
      <c r="O50" s="39"/>
      <c r="P50" s="39"/>
      <c r="Q50" s="39"/>
      <c r="R50" s="39"/>
      <c r="S50" s="39"/>
      <c r="T50" s="39"/>
      <c r="U50" s="39"/>
      <c r="V50" s="39"/>
      <c r="W50" s="39"/>
      <c r="X50" s="39"/>
      <c r="Y50" s="39"/>
      <c r="Z50" s="39"/>
      <c r="AA50" s="39"/>
      <c r="AB50" s="39"/>
      <c r="AC50" s="39"/>
      <c r="AD50" s="39"/>
      <c r="AE50" s="39"/>
      <c r="AF50" s="39"/>
      <c r="AG50" s="39"/>
      <c r="AH50" s="39"/>
      <c r="AI50" s="39"/>
      <c r="AJ50" s="39"/>
      <c r="AK50" s="39"/>
      <c r="AL50" s="39"/>
    </row>
    <row r="51" ht="14.25" customHeight="1">
      <c r="A51" s="39"/>
      <c r="B51" s="39"/>
      <c r="C51" s="39"/>
      <c r="D51" s="39"/>
      <c r="E51" s="39"/>
      <c r="F51" s="39"/>
      <c r="G51" s="39"/>
      <c r="H51" s="39"/>
      <c r="I51" s="39"/>
      <c r="J51" s="39"/>
      <c r="K51" s="39"/>
      <c r="L51" s="39"/>
      <c r="M51" s="39"/>
      <c r="N51" s="39"/>
      <c r="O51" s="39"/>
      <c r="P51" s="39"/>
      <c r="Q51" s="39"/>
      <c r="R51" s="39"/>
      <c r="S51" s="39"/>
      <c r="T51" s="39"/>
      <c r="U51" s="39"/>
      <c r="V51" s="39"/>
      <c r="W51" s="39"/>
      <c r="X51" s="39"/>
      <c r="Y51" s="39"/>
      <c r="Z51" s="39"/>
      <c r="AA51" s="39"/>
      <c r="AB51" s="39"/>
      <c r="AC51" s="39"/>
      <c r="AD51" s="39"/>
      <c r="AE51" s="39"/>
      <c r="AF51" s="39"/>
      <c r="AG51" s="39"/>
      <c r="AH51" s="39"/>
      <c r="AI51" s="39"/>
      <c r="AJ51" s="39"/>
      <c r="AK51" s="39"/>
      <c r="AL51" s="39"/>
    </row>
    <row r="52" ht="14.25" customHeight="1">
      <c r="A52" s="39"/>
      <c r="B52" s="39"/>
      <c r="C52" s="39"/>
      <c r="D52" s="39"/>
      <c r="E52" s="39"/>
      <c r="F52" s="39"/>
      <c r="G52" s="39"/>
      <c r="H52" s="39"/>
      <c r="I52" s="39"/>
      <c r="J52" s="39"/>
      <c r="K52" s="39"/>
      <c r="L52" s="39"/>
      <c r="M52" s="39"/>
      <c r="N52" s="39"/>
      <c r="O52" s="39"/>
      <c r="P52" s="39"/>
      <c r="Q52" s="39"/>
      <c r="R52" s="39"/>
      <c r="S52" s="39"/>
      <c r="T52" s="39"/>
      <c r="U52" s="39"/>
      <c r="V52" s="39"/>
      <c r="W52" s="39"/>
      <c r="X52" s="39"/>
      <c r="Y52" s="39"/>
      <c r="Z52" s="39"/>
      <c r="AA52" s="39"/>
      <c r="AB52" s="39"/>
      <c r="AC52" s="39"/>
      <c r="AD52" s="39"/>
      <c r="AE52" s="39"/>
      <c r="AF52" s="39"/>
      <c r="AG52" s="39"/>
      <c r="AH52" s="39"/>
      <c r="AI52" s="39"/>
      <c r="AJ52" s="39"/>
      <c r="AK52" s="39"/>
      <c r="AL52" s="39"/>
    </row>
    <row r="53" ht="14.25" customHeight="1">
      <c r="A53" s="39"/>
      <c r="B53" s="39"/>
      <c r="C53" s="39"/>
      <c r="D53" s="39"/>
      <c r="E53" s="39"/>
      <c r="F53" s="39"/>
      <c r="G53" s="39"/>
      <c r="H53" s="39"/>
      <c r="I53" s="39"/>
      <c r="J53" s="39"/>
      <c r="K53" s="39"/>
      <c r="L53" s="39"/>
      <c r="M53" s="39"/>
      <c r="N53" s="39"/>
      <c r="O53" s="39"/>
      <c r="P53" s="39"/>
      <c r="Q53" s="39"/>
      <c r="R53" s="39"/>
      <c r="S53" s="39"/>
      <c r="T53" s="39"/>
      <c r="U53" s="39"/>
      <c r="V53" s="39"/>
      <c r="W53" s="39"/>
      <c r="X53" s="39"/>
      <c r="Y53" s="39"/>
      <c r="Z53" s="39"/>
      <c r="AA53" s="39"/>
      <c r="AB53" s="39"/>
      <c r="AC53" s="39"/>
      <c r="AD53" s="39"/>
      <c r="AE53" s="39"/>
      <c r="AF53" s="39"/>
      <c r="AG53" s="39"/>
      <c r="AH53" s="39"/>
      <c r="AI53" s="39"/>
      <c r="AJ53" s="39"/>
      <c r="AK53" s="39"/>
      <c r="AL53" s="39"/>
    </row>
    <row r="54" ht="14.25" customHeight="1">
      <c r="A54" s="39"/>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9"/>
      <c r="AG54" s="39"/>
      <c r="AH54" s="39"/>
      <c r="AI54" s="39"/>
      <c r="AJ54" s="39"/>
      <c r="AK54" s="39"/>
      <c r="AL54" s="39"/>
    </row>
    <row r="55" ht="14.25" customHeight="1">
      <c r="A55" s="39"/>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c r="AJ55" s="39"/>
      <c r="AK55" s="39"/>
      <c r="AL55" s="39"/>
    </row>
    <row r="56" ht="14.25" customHeight="1">
      <c r="A56" s="39"/>
      <c r="B56" s="39"/>
      <c r="C56" s="39"/>
      <c r="D56" s="39"/>
      <c r="E56" s="39"/>
      <c r="F56" s="39"/>
      <c r="G56" s="39"/>
      <c r="H56" s="39"/>
      <c r="I56" s="39"/>
      <c r="J56" s="39"/>
      <c r="K56" s="39"/>
      <c r="L56" s="39"/>
      <c r="M56" s="39"/>
      <c r="N56" s="39"/>
      <c r="O56" s="39"/>
      <c r="P56" s="39"/>
      <c r="Q56" s="39"/>
      <c r="R56" s="39"/>
      <c r="S56" s="39"/>
      <c r="T56" s="39"/>
      <c r="U56" s="39"/>
      <c r="V56" s="39"/>
      <c r="W56" s="39"/>
      <c r="X56" s="39"/>
      <c r="Y56" s="39"/>
      <c r="Z56" s="39"/>
      <c r="AA56" s="39"/>
      <c r="AB56" s="39"/>
      <c r="AC56" s="39"/>
      <c r="AD56" s="39"/>
      <c r="AE56" s="39"/>
      <c r="AF56" s="39"/>
      <c r="AG56" s="39"/>
      <c r="AH56" s="39"/>
      <c r="AI56" s="39"/>
      <c r="AJ56" s="39"/>
      <c r="AK56" s="39"/>
      <c r="AL56" s="39"/>
    </row>
    <row r="57" ht="14.25" customHeight="1">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c r="AA57" s="39"/>
      <c r="AB57" s="39"/>
      <c r="AC57" s="39"/>
      <c r="AD57" s="39"/>
      <c r="AE57" s="39"/>
      <c r="AF57" s="39"/>
      <c r="AG57" s="39"/>
      <c r="AH57" s="39"/>
      <c r="AI57" s="39"/>
      <c r="AJ57" s="39"/>
      <c r="AK57" s="39"/>
      <c r="AL57" s="39"/>
    </row>
    <row r="58" ht="14.25" customHeight="1">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c r="AA58" s="39"/>
      <c r="AB58" s="39"/>
      <c r="AC58" s="39"/>
      <c r="AD58" s="39"/>
      <c r="AE58" s="39"/>
      <c r="AF58" s="39"/>
      <c r="AG58" s="39"/>
      <c r="AH58" s="39"/>
      <c r="AI58" s="39"/>
      <c r="AJ58" s="39"/>
      <c r="AK58" s="39"/>
      <c r="AL58" s="39"/>
    </row>
    <row r="59" ht="14.25" customHeight="1">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c r="AA59" s="39"/>
      <c r="AB59" s="39"/>
      <c r="AC59" s="39"/>
      <c r="AD59" s="39"/>
      <c r="AE59" s="39"/>
      <c r="AF59" s="39"/>
      <c r="AG59" s="39"/>
      <c r="AH59" s="39"/>
      <c r="AI59" s="39"/>
      <c r="AJ59" s="39"/>
      <c r="AK59" s="39"/>
      <c r="AL59" s="39"/>
    </row>
    <row r="60" ht="14.25" customHeight="1">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c r="AA60" s="39"/>
      <c r="AB60" s="39"/>
      <c r="AC60" s="39"/>
      <c r="AD60" s="39"/>
      <c r="AE60" s="39"/>
      <c r="AF60" s="39"/>
      <c r="AG60" s="39"/>
      <c r="AH60" s="39"/>
      <c r="AI60" s="39"/>
      <c r="AJ60" s="39"/>
      <c r="AK60" s="39"/>
      <c r="AL60" s="39"/>
    </row>
    <row r="61" ht="14.25" customHeight="1">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c r="AA61" s="39"/>
      <c r="AB61" s="39"/>
      <c r="AC61" s="39"/>
      <c r="AD61" s="39"/>
      <c r="AE61" s="39"/>
      <c r="AF61" s="39"/>
      <c r="AG61" s="39"/>
      <c r="AH61" s="39"/>
      <c r="AI61" s="39"/>
      <c r="AJ61" s="39"/>
      <c r="AK61" s="39"/>
      <c r="AL61" s="39"/>
    </row>
    <row r="62" ht="14.25" customHeight="1">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row>
    <row r="63" ht="14.25" customHeight="1">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c r="AA63" s="39"/>
      <c r="AB63" s="39"/>
      <c r="AC63" s="39"/>
      <c r="AD63" s="39"/>
      <c r="AE63" s="39"/>
      <c r="AF63" s="39"/>
      <c r="AG63" s="39"/>
      <c r="AH63" s="39"/>
      <c r="AI63" s="39"/>
      <c r="AJ63" s="39"/>
      <c r="AK63" s="39"/>
      <c r="AL63" s="39"/>
    </row>
    <row r="64" ht="14.25" customHeight="1">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c r="AG64" s="39"/>
      <c r="AH64" s="39"/>
      <c r="AI64" s="39"/>
      <c r="AJ64" s="39"/>
      <c r="AK64" s="39"/>
      <c r="AL64" s="39"/>
    </row>
    <row r="65" ht="14.25" customHeight="1">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c r="AG65" s="39"/>
      <c r="AH65" s="39"/>
      <c r="AI65" s="39"/>
      <c r="AJ65" s="39"/>
      <c r="AK65" s="39"/>
      <c r="AL65" s="39"/>
    </row>
    <row r="66" ht="14.25" customHeight="1">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39"/>
      <c r="AJ66" s="39"/>
      <c r="AK66" s="39"/>
      <c r="AL66" s="39"/>
    </row>
    <row r="67" ht="14.25" customHeight="1">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c r="AG67" s="39"/>
      <c r="AH67" s="39"/>
      <c r="AI67" s="39"/>
      <c r="AJ67" s="39"/>
      <c r="AK67" s="39"/>
      <c r="AL67" s="39"/>
    </row>
    <row r="68" ht="14.25" customHeight="1">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39"/>
      <c r="AH68" s="39"/>
      <c r="AI68" s="39"/>
      <c r="AJ68" s="39"/>
      <c r="AK68" s="39"/>
      <c r="AL68" s="39"/>
    </row>
    <row r="69" ht="14.25" customHeight="1">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row>
    <row r="70" ht="14.25" customHeight="1">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9"/>
      <c r="AK70" s="39"/>
      <c r="AL70" s="39"/>
    </row>
    <row r="71" ht="14.25" customHeight="1">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c r="AA71" s="39"/>
      <c r="AB71" s="39"/>
      <c r="AC71" s="39"/>
      <c r="AD71" s="39"/>
      <c r="AE71" s="39"/>
      <c r="AF71" s="39"/>
      <c r="AG71" s="39"/>
      <c r="AH71" s="39"/>
      <c r="AI71" s="39"/>
      <c r="AJ71" s="39"/>
      <c r="AK71" s="39"/>
      <c r="AL71" s="39"/>
    </row>
    <row r="72" ht="14.25" customHeight="1">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row>
    <row r="73" ht="14.25" customHeight="1">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c r="AB73" s="39"/>
      <c r="AC73" s="39"/>
      <c r="AD73" s="39"/>
      <c r="AE73" s="39"/>
      <c r="AF73" s="39"/>
      <c r="AG73" s="39"/>
      <c r="AH73" s="39"/>
      <c r="AI73" s="39"/>
      <c r="AJ73" s="39"/>
      <c r="AK73" s="39"/>
      <c r="AL73" s="39"/>
    </row>
    <row r="74" ht="14.25" customHeight="1">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9"/>
      <c r="AH74" s="39"/>
      <c r="AI74" s="39"/>
      <c r="AJ74" s="39"/>
      <c r="AK74" s="39"/>
      <c r="AL74" s="39"/>
    </row>
    <row r="75" ht="14.25" customHeight="1">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row>
    <row r="76" ht="14.25" customHeight="1">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c r="AB76" s="39"/>
      <c r="AC76" s="39"/>
      <c r="AD76" s="39"/>
      <c r="AE76" s="39"/>
      <c r="AF76" s="39"/>
      <c r="AG76" s="39"/>
      <c r="AH76" s="39"/>
      <c r="AI76" s="39"/>
      <c r="AJ76" s="39"/>
      <c r="AK76" s="39"/>
      <c r="AL76" s="39"/>
    </row>
    <row r="77" ht="14.25" customHeight="1">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c r="AB77" s="39"/>
      <c r="AC77" s="39"/>
      <c r="AD77" s="39"/>
      <c r="AE77" s="39"/>
      <c r="AF77" s="39"/>
      <c r="AG77" s="39"/>
      <c r="AH77" s="39"/>
      <c r="AI77" s="39"/>
      <c r="AJ77" s="39"/>
      <c r="AK77" s="39"/>
      <c r="AL77" s="39"/>
    </row>
    <row r="78" ht="14.25" customHeight="1">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row>
    <row r="79" ht="14.25" customHeight="1">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row>
    <row r="80" ht="14.25" customHeight="1">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row>
    <row r="81" ht="14.25" customHeight="1">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row>
    <row r="82" ht="14.25" customHeight="1">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AH82" s="39"/>
      <c r="AI82" s="39"/>
      <c r="AJ82" s="39"/>
      <c r="AK82" s="39"/>
      <c r="AL82" s="39"/>
    </row>
    <row r="83" ht="14.25" customHeight="1">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c r="AH83" s="39"/>
      <c r="AI83" s="39"/>
      <c r="AJ83" s="39"/>
      <c r="AK83" s="39"/>
      <c r="AL83" s="39"/>
    </row>
    <row r="84" ht="14.25" customHeight="1">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c r="AH84" s="39"/>
      <c r="AI84" s="39"/>
      <c r="AJ84" s="39"/>
      <c r="AK84" s="39"/>
      <c r="AL84" s="39"/>
    </row>
    <row r="85" ht="14.25" customHeight="1">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row>
    <row r="86" ht="14.25" customHeight="1">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c r="AH86" s="39"/>
      <c r="AI86" s="39"/>
      <c r="AJ86" s="39"/>
      <c r="AK86" s="39"/>
      <c r="AL86" s="39"/>
    </row>
    <row r="87" ht="14.25" customHeight="1">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c r="AB87" s="39"/>
      <c r="AC87" s="39"/>
      <c r="AD87" s="39"/>
      <c r="AE87" s="39"/>
      <c r="AF87" s="39"/>
      <c r="AG87" s="39"/>
      <c r="AH87" s="39"/>
      <c r="AI87" s="39"/>
      <c r="AJ87" s="39"/>
      <c r="AK87" s="39"/>
      <c r="AL87" s="39"/>
    </row>
    <row r="88" ht="14.25" customHeight="1">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39"/>
      <c r="AH88" s="39"/>
      <c r="AI88" s="39"/>
      <c r="AJ88" s="39"/>
      <c r="AK88" s="39"/>
      <c r="AL88" s="39"/>
    </row>
    <row r="89" ht="14.25" customHeight="1">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c r="AB89" s="39"/>
      <c r="AC89" s="39"/>
      <c r="AD89" s="39"/>
      <c r="AE89" s="39"/>
      <c r="AF89" s="39"/>
      <c r="AG89" s="39"/>
      <c r="AH89" s="39"/>
      <c r="AI89" s="39"/>
      <c r="AJ89" s="39"/>
      <c r="AK89" s="39"/>
      <c r="AL89" s="39"/>
    </row>
    <row r="90" ht="14.25" customHeight="1">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row>
    <row r="91" ht="14.25" customHeight="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c r="AB91" s="39"/>
      <c r="AC91" s="39"/>
      <c r="AD91" s="39"/>
      <c r="AE91" s="39"/>
      <c r="AF91" s="39"/>
      <c r="AG91" s="39"/>
      <c r="AH91" s="39"/>
      <c r="AI91" s="39"/>
      <c r="AJ91" s="39"/>
      <c r="AK91" s="39"/>
      <c r="AL91" s="39"/>
    </row>
    <row r="92" ht="14.25" customHeight="1">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39"/>
      <c r="AE92" s="39"/>
      <c r="AF92" s="39"/>
      <c r="AG92" s="39"/>
      <c r="AH92" s="39"/>
      <c r="AI92" s="39"/>
      <c r="AJ92" s="39"/>
      <c r="AK92" s="39"/>
      <c r="AL92" s="39"/>
    </row>
    <row r="93" ht="14.25" customHeight="1">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c r="AB93" s="39"/>
      <c r="AC93" s="39"/>
      <c r="AD93" s="39"/>
      <c r="AE93" s="39"/>
      <c r="AF93" s="39"/>
      <c r="AG93" s="39"/>
      <c r="AH93" s="39"/>
      <c r="AI93" s="39"/>
      <c r="AJ93" s="39"/>
      <c r="AK93" s="39"/>
      <c r="AL93" s="39"/>
    </row>
    <row r="94" ht="14.25" customHeight="1">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AH94" s="39"/>
      <c r="AI94" s="39"/>
      <c r="AJ94" s="39"/>
      <c r="AK94" s="39"/>
      <c r="AL94" s="39"/>
    </row>
    <row r="95" ht="14.25" customHeight="1">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row>
    <row r="96" ht="14.25" customHeight="1">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39"/>
      <c r="AH96" s="39"/>
      <c r="AI96" s="39"/>
      <c r="AJ96" s="39"/>
      <c r="AK96" s="39"/>
      <c r="AL96" s="39"/>
    </row>
    <row r="97" ht="14.25" customHeight="1">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c r="AB97" s="39"/>
      <c r="AC97" s="39"/>
      <c r="AD97" s="39"/>
      <c r="AE97" s="39"/>
      <c r="AF97" s="39"/>
      <c r="AG97" s="39"/>
      <c r="AH97" s="39"/>
      <c r="AI97" s="39"/>
      <c r="AJ97" s="39"/>
      <c r="AK97" s="39"/>
      <c r="AL97" s="39"/>
    </row>
    <row r="98" ht="14.25" customHeight="1">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39"/>
      <c r="AC98" s="39"/>
      <c r="AD98" s="39"/>
      <c r="AE98" s="39"/>
      <c r="AF98" s="39"/>
      <c r="AG98" s="39"/>
      <c r="AH98" s="39"/>
      <c r="AI98" s="39"/>
      <c r="AJ98" s="39"/>
      <c r="AK98" s="39"/>
      <c r="AL98" s="39"/>
    </row>
    <row r="99" ht="14.25" customHeight="1">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39"/>
    </row>
    <row r="100" ht="14.25" customHeight="1">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39"/>
      <c r="AH100" s="39"/>
      <c r="AI100" s="39"/>
      <c r="AJ100" s="39"/>
      <c r="AK100" s="39"/>
      <c r="AL100" s="39"/>
    </row>
    <row r="101" ht="14.25" customHeight="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c r="AB101" s="39"/>
      <c r="AC101" s="39"/>
      <c r="AD101" s="39"/>
      <c r="AE101" s="39"/>
      <c r="AF101" s="39"/>
      <c r="AG101" s="39"/>
      <c r="AH101" s="39"/>
      <c r="AI101" s="39"/>
      <c r="AJ101" s="39"/>
      <c r="AK101" s="39"/>
      <c r="AL101" s="39"/>
    </row>
    <row r="102" ht="14.25" customHeight="1">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39"/>
    </row>
    <row r="103" ht="14.25" customHeight="1">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c r="AE103" s="39"/>
      <c r="AF103" s="39"/>
      <c r="AG103" s="39"/>
      <c r="AH103" s="39"/>
      <c r="AI103" s="39"/>
      <c r="AJ103" s="39"/>
      <c r="AK103" s="39"/>
      <c r="AL103" s="39"/>
    </row>
    <row r="104" ht="14.25" customHeight="1">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row>
    <row r="105" ht="14.25" customHeight="1">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row>
    <row r="106" ht="14.25" customHeight="1">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row>
    <row r="107" ht="14.25" customHeight="1">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39"/>
    </row>
    <row r="108" ht="14.25" customHeight="1">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c r="AH108" s="39"/>
      <c r="AI108" s="39"/>
      <c r="AJ108" s="39"/>
      <c r="AK108" s="39"/>
      <c r="AL108" s="39"/>
    </row>
    <row r="109" ht="14.25" customHeight="1">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c r="AH109" s="39"/>
      <c r="AI109" s="39"/>
      <c r="AJ109" s="39"/>
      <c r="AK109" s="39"/>
      <c r="AL109" s="39"/>
    </row>
    <row r="110" ht="14.25" customHeight="1">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39"/>
    </row>
    <row r="111" ht="14.25" customHeight="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c r="AB111" s="39"/>
      <c r="AC111" s="39"/>
      <c r="AD111" s="39"/>
      <c r="AE111" s="39"/>
      <c r="AF111" s="39"/>
      <c r="AG111" s="39"/>
      <c r="AH111" s="39"/>
      <c r="AI111" s="39"/>
      <c r="AJ111" s="39"/>
      <c r="AK111" s="39"/>
      <c r="AL111" s="39"/>
    </row>
    <row r="112" ht="14.25" customHeight="1">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c r="AB112" s="39"/>
      <c r="AC112" s="39"/>
      <c r="AD112" s="39"/>
      <c r="AE112" s="39"/>
      <c r="AF112" s="39"/>
      <c r="AG112" s="39"/>
      <c r="AH112" s="39"/>
      <c r="AI112" s="39"/>
      <c r="AJ112" s="39"/>
      <c r="AK112" s="39"/>
      <c r="AL112" s="39"/>
    </row>
    <row r="113" ht="14.25" customHeight="1">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row>
    <row r="114" ht="14.25" customHeight="1">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row>
    <row r="115" ht="14.25" customHeight="1">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c r="AI115" s="39"/>
      <c r="AJ115" s="39"/>
      <c r="AK115" s="39"/>
      <c r="AL115" s="39"/>
    </row>
    <row r="116" ht="14.25" customHeight="1">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row>
    <row r="117" ht="14.25" customHeight="1">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39"/>
    </row>
    <row r="118" ht="14.25" customHeight="1">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row>
    <row r="119" ht="14.25" customHeight="1">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row>
    <row r="120" ht="14.25" customHeight="1">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c r="AI120" s="39"/>
      <c r="AJ120" s="39"/>
      <c r="AK120" s="39"/>
      <c r="AL120" s="39"/>
    </row>
    <row r="121" ht="14.25" customHeight="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row>
    <row r="122" ht="14.25" customHeight="1">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c r="AB122" s="39"/>
      <c r="AC122" s="39"/>
      <c r="AD122" s="39"/>
      <c r="AE122" s="39"/>
      <c r="AF122" s="39"/>
      <c r="AG122" s="39"/>
      <c r="AH122" s="39"/>
      <c r="AI122" s="39"/>
      <c r="AJ122" s="39"/>
      <c r="AK122" s="39"/>
      <c r="AL122" s="39"/>
    </row>
    <row r="123" ht="14.25" customHeight="1">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c r="AB123" s="39"/>
      <c r="AC123" s="39"/>
      <c r="AD123" s="39"/>
      <c r="AE123" s="39"/>
      <c r="AF123" s="39"/>
      <c r="AG123" s="39"/>
      <c r="AH123" s="39"/>
      <c r="AI123" s="39"/>
      <c r="AJ123" s="39"/>
      <c r="AK123" s="39"/>
      <c r="AL123" s="39"/>
    </row>
    <row r="124" ht="14.25" customHeight="1">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39"/>
    </row>
    <row r="125" ht="14.25" customHeight="1">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row>
    <row r="126" ht="14.25" customHeight="1">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c r="AH126" s="39"/>
      <c r="AI126" s="39"/>
      <c r="AJ126" s="39"/>
      <c r="AK126" s="39"/>
      <c r="AL126" s="39"/>
    </row>
    <row r="127" ht="14.25" customHeight="1">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row>
    <row r="128" ht="14.25" customHeight="1">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c r="AH128" s="39"/>
      <c r="AI128" s="39"/>
      <c r="AJ128" s="39"/>
      <c r="AK128" s="39"/>
      <c r="AL128" s="39"/>
    </row>
    <row r="129" ht="14.25" customHeight="1">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39"/>
      <c r="AC129" s="39"/>
      <c r="AD129" s="39"/>
      <c r="AE129" s="39"/>
      <c r="AF129" s="39"/>
      <c r="AG129" s="39"/>
      <c r="AH129" s="39"/>
      <c r="AI129" s="39"/>
      <c r="AJ129" s="39"/>
      <c r="AK129" s="39"/>
      <c r="AL129" s="39"/>
    </row>
    <row r="130" ht="14.25" customHeight="1">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c r="AH130" s="39"/>
      <c r="AI130" s="39"/>
      <c r="AJ130" s="39"/>
      <c r="AK130" s="39"/>
      <c r="AL130" s="39"/>
    </row>
    <row r="131" ht="14.25" customHeight="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row>
    <row r="132" ht="14.25" customHeight="1">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c r="AB132" s="39"/>
      <c r="AC132" s="39"/>
      <c r="AD132" s="39"/>
      <c r="AE132" s="39"/>
      <c r="AF132" s="39"/>
      <c r="AG132" s="39"/>
      <c r="AH132" s="39"/>
      <c r="AI132" s="39"/>
      <c r="AJ132" s="39"/>
      <c r="AK132" s="39"/>
      <c r="AL132" s="39"/>
    </row>
    <row r="133" ht="14.25" customHeight="1">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c r="AB133" s="39"/>
      <c r="AC133" s="39"/>
      <c r="AD133" s="39"/>
      <c r="AE133" s="39"/>
      <c r="AF133" s="39"/>
      <c r="AG133" s="39"/>
      <c r="AH133" s="39"/>
      <c r="AI133" s="39"/>
      <c r="AJ133" s="39"/>
      <c r="AK133" s="39"/>
      <c r="AL133" s="39"/>
    </row>
    <row r="134" ht="14.25" customHeight="1">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c r="AB134" s="39"/>
      <c r="AC134" s="39"/>
      <c r="AD134" s="39"/>
      <c r="AE134" s="39"/>
      <c r="AF134" s="39"/>
      <c r="AG134" s="39"/>
      <c r="AH134" s="39"/>
      <c r="AI134" s="39"/>
      <c r="AJ134" s="39"/>
      <c r="AK134" s="39"/>
      <c r="AL134" s="39"/>
    </row>
    <row r="135" ht="14.25" customHeight="1">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row>
    <row r="136" ht="14.25" customHeight="1">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c r="AB136" s="39"/>
      <c r="AC136" s="39"/>
      <c r="AD136" s="39"/>
      <c r="AE136" s="39"/>
      <c r="AF136" s="39"/>
      <c r="AG136" s="39"/>
      <c r="AH136" s="39"/>
      <c r="AI136" s="39"/>
      <c r="AJ136" s="39"/>
      <c r="AK136" s="39"/>
      <c r="AL136" s="39"/>
    </row>
    <row r="137" ht="14.25" customHeight="1">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row>
    <row r="138" ht="14.25" customHeight="1">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c r="AB138" s="39"/>
      <c r="AC138" s="39"/>
      <c r="AD138" s="39"/>
      <c r="AE138" s="39"/>
      <c r="AF138" s="39"/>
      <c r="AG138" s="39"/>
      <c r="AH138" s="39"/>
      <c r="AI138" s="39"/>
      <c r="AJ138" s="39"/>
      <c r="AK138" s="39"/>
      <c r="AL138" s="39"/>
    </row>
    <row r="139" ht="14.25" customHeight="1">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row>
    <row r="140" ht="14.25" customHeight="1">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c r="AB140" s="39"/>
      <c r="AC140" s="39"/>
      <c r="AD140" s="39"/>
      <c r="AE140" s="39"/>
      <c r="AF140" s="39"/>
      <c r="AG140" s="39"/>
      <c r="AH140" s="39"/>
      <c r="AI140" s="39"/>
      <c r="AJ140" s="39"/>
      <c r="AK140" s="39"/>
      <c r="AL140" s="39"/>
    </row>
    <row r="141" ht="14.25" customHeight="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row>
    <row r="142" ht="14.25" customHeight="1">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c r="AB142" s="39"/>
      <c r="AC142" s="39"/>
      <c r="AD142" s="39"/>
      <c r="AE142" s="39"/>
      <c r="AF142" s="39"/>
      <c r="AG142" s="39"/>
      <c r="AH142" s="39"/>
      <c r="AI142" s="39"/>
      <c r="AJ142" s="39"/>
      <c r="AK142" s="39"/>
      <c r="AL142" s="39"/>
    </row>
    <row r="143" ht="14.25" customHeight="1">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39"/>
    </row>
    <row r="144" ht="14.25" customHeight="1">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c r="AB144" s="39"/>
      <c r="AC144" s="39"/>
      <c r="AD144" s="39"/>
      <c r="AE144" s="39"/>
      <c r="AF144" s="39"/>
      <c r="AG144" s="39"/>
      <c r="AH144" s="39"/>
      <c r="AI144" s="39"/>
      <c r="AJ144" s="39"/>
      <c r="AK144" s="39"/>
      <c r="AL144" s="39"/>
    </row>
    <row r="145" ht="14.25" customHeight="1">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row>
    <row r="146" ht="14.25" customHeight="1">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c r="AB146" s="39"/>
      <c r="AC146" s="39"/>
      <c r="AD146" s="39"/>
      <c r="AE146" s="39"/>
      <c r="AF146" s="39"/>
      <c r="AG146" s="39"/>
      <c r="AH146" s="39"/>
      <c r="AI146" s="39"/>
      <c r="AJ146" s="39"/>
      <c r="AK146" s="39"/>
      <c r="AL146" s="39"/>
    </row>
    <row r="147" ht="14.25" customHeight="1">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row>
    <row r="148" ht="14.25" customHeight="1">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c r="AB148" s="39"/>
      <c r="AC148" s="39"/>
      <c r="AD148" s="39"/>
      <c r="AE148" s="39"/>
      <c r="AF148" s="39"/>
      <c r="AG148" s="39"/>
      <c r="AH148" s="39"/>
      <c r="AI148" s="39"/>
      <c r="AJ148" s="39"/>
      <c r="AK148" s="39"/>
      <c r="AL148" s="39"/>
    </row>
    <row r="149" ht="14.25" customHeight="1">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row>
    <row r="150" ht="14.25" customHeight="1">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c r="AB150" s="39"/>
      <c r="AC150" s="39"/>
      <c r="AD150" s="39"/>
      <c r="AE150" s="39"/>
      <c r="AF150" s="39"/>
      <c r="AG150" s="39"/>
      <c r="AH150" s="39"/>
      <c r="AI150" s="39"/>
      <c r="AJ150" s="39"/>
      <c r="AK150" s="39"/>
      <c r="AL150" s="39"/>
    </row>
    <row r="151" ht="14.25" customHeight="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row>
    <row r="152" ht="14.25" customHeight="1">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c r="AB152" s="39"/>
      <c r="AC152" s="39"/>
      <c r="AD152" s="39"/>
      <c r="AE152" s="39"/>
      <c r="AF152" s="39"/>
      <c r="AG152" s="39"/>
      <c r="AH152" s="39"/>
      <c r="AI152" s="39"/>
      <c r="AJ152" s="39"/>
      <c r="AK152" s="39"/>
      <c r="AL152" s="39"/>
    </row>
    <row r="153" ht="14.25" customHeight="1">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row>
    <row r="154" ht="14.25" customHeight="1">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c r="AB154" s="39"/>
      <c r="AC154" s="39"/>
      <c r="AD154" s="39"/>
      <c r="AE154" s="39"/>
      <c r="AF154" s="39"/>
      <c r="AG154" s="39"/>
      <c r="AH154" s="39"/>
      <c r="AI154" s="39"/>
      <c r="AJ154" s="39"/>
      <c r="AK154" s="39"/>
      <c r="AL154" s="39"/>
    </row>
    <row r="155" ht="14.25" customHeight="1">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row>
    <row r="156" ht="14.25" customHeight="1">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c r="AB156" s="39"/>
      <c r="AC156" s="39"/>
      <c r="AD156" s="39"/>
      <c r="AE156" s="39"/>
      <c r="AF156" s="39"/>
      <c r="AG156" s="39"/>
      <c r="AH156" s="39"/>
      <c r="AI156" s="39"/>
      <c r="AJ156" s="39"/>
      <c r="AK156" s="39"/>
      <c r="AL156" s="39"/>
    </row>
    <row r="157" ht="14.25" customHeight="1">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row>
    <row r="158" ht="14.25" customHeight="1">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c r="AB158" s="39"/>
      <c r="AC158" s="39"/>
      <c r="AD158" s="39"/>
      <c r="AE158" s="39"/>
      <c r="AF158" s="39"/>
      <c r="AG158" s="39"/>
      <c r="AH158" s="39"/>
      <c r="AI158" s="39"/>
      <c r="AJ158" s="39"/>
      <c r="AK158" s="39"/>
      <c r="AL158" s="39"/>
    </row>
    <row r="159" ht="14.25" customHeight="1">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row>
    <row r="160" ht="14.25" customHeight="1">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39"/>
      <c r="AC160" s="39"/>
      <c r="AD160" s="39"/>
      <c r="AE160" s="39"/>
      <c r="AF160" s="39"/>
      <c r="AG160" s="39"/>
      <c r="AH160" s="39"/>
      <c r="AI160" s="39"/>
      <c r="AJ160" s="39"/>
      <c r="AK160" s="39"/>
      <c r="AL160" s="39"/>
    </row>
    <row r="161" ht="14.25" customHeight="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c r="AB161" s="39"/>
      <c r="AC161" s="39"/>
      <c r="AD161" s="39"/>
      <c r="AE161" s="39"/>
      <c r="AF161" s="39"/>
      <c r="AG161" s="39"/>
      <c r="AH161" s="39"/>
      <c r="AI161" s="39"/>
      <c r="AJ161" s="39"/>
      <c r="AK161" s="39"/>
      <c r="AL161" s="39"/>
    </row>
    <row r="162" ht="14.25" customHeight="1">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c r="AB162" s="39"/>
      <c r="AC162" s="39"/>
      <c r="AD162" s="39"/>
      <c r="AE162" s="39"/>
      <c r="AF162" s="39"/>
      <c r="AG162" s="39"/>
      <c r="AH162" s="39"/>
      <c r="AI162" s="39"/>
      <c r="AJ162" s="39"/>
      <c r="AK162" s="39"/>
      <c r="AL162" s="39"/>
    </row>
    <row r="163" ht="14.25" customHeight="1">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c r="AB163" s="39"/>
      <c r="AC163" s="39"/>
      <c r="AD163" s="39"/>
      <c r="AE163" s="39"/>
      <c r="AF163" s="39"/>
      <c r="AG163" s="39"/>
      <c r="AH163" s="39"/>
      <c r="AI163" s="39"/>
      <c r="AJ163" s="39"/>
      <c r="AK163" s="39"/>
      <c r="AL163" s="39"/>
    </row>
    <row r="164" ht="14.25" customHeight="1">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row>
    <row r="165" ht="14.25" customHeight="1">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c r="AB165" s="39"/>
      <c r="AC165" s="39"/>
      <c r="AD165" s="39"/>
      <c r="AE165" s="39"/>
      <c r="AF165" s="39"/>
      <c r="AG165" s="39"/>
      <c r="AH165" s="39"/>
      <c r="AI165" s="39"/>
      <c r="AJ165" s="39"/>
      <c r="AK165" s="39"/>
      <c r="AL165" s="39"/>
    </row>
    <row r="166" ht="14.25" customHeight="1">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c r="AB166" s="39"/>
      <c r="AC166" s="39"/>
      <c r="AD166" s="39"/>
      <c r="AE166" s="39"/>
      <c r="AF166" s="39"/>
      <c r="AG166" s="39"/>
      <c r="AH166" s="39"/>
      <c r="AI166" s="39"/>
      <c r="AJ166" s="39"/>
      <c r="AK166" s="39"/>
      <c r="AL166" s="39"/>
    </row>
    <row r="167" ht="14.25" customHeight="1">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c r="AB167" s="39"/>
      <c r="AC167" s="39"/>
      <c r="AD167" s="39"/>
      <c r="AE167" s="39"/>
      <c r="AF167" s="39"/>
      <c r="AG167" s="39"/>
      <c r="AH167" s="39"/>
      <c r="AI167" s="39"/>
      <c r="AJ167" s="39"/>
      <c r="AK167" s="39"/>
      <c r="AL167" s="39"/>
    </row>
    <row r="168" ht="14.25" customHeight="1">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c r="AB168" s="39"/>
      <c r="AC168" s="39"/>
      <c r="AD168" s="39"/>
      <c r="AE168" s="39"/>
      <c r="AF168" s="39"/>
      <c r="AG168" s="39"/>
      <c r="AH168" s="39"/>
      <c r="AI168" s="39"/>
      <c r="AJ168" s="39"/>
      <c r="AK168" s="39"/>
      <c r="AL168" s="39"/>
    </row>
    <row r="169" ht="14.25" customHeight="1">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row>
    <row r="170" ht="14.25" customHeight="1">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c r="AB170" s="39"/>
      <c r="AC170" s="39"/>
      <c r="AD170" s="39"/>
      <c r="AE170" s="39"/>
      <c r="AF170" s="39"/>
      <c r="AG170" s="39"/>
      <c r="AH170" s="39"/>
      <c r="AI170" s="39"/>
      <c r="AJ170" s="39"/>
      <c r="AK170" s="39"/>
      <c r="AL170" s="39"/>
    </row>
    <row r="171" ht="14.25" customHeight="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c r="AB171" s="39"/>
      <c r="AC171" s="39"/>
      <c r="AD171" s="39"/>
      <c r="AE171" s="39"/>
      <c r="AF171" s="39"/>
      <c r="AG171" s="39"/>
      <c r="AH171" s="39"/>
      <c r="AI171" s="39"/>
      <c r="AJ171" s="39"/>
      <c r="AK171" s="39"/>
      <c r="AL171" s="39"/>
    </row>
    <row r="172" ht="14.25" customHeight="1">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c r="AB172" s="39"/>
      <c r="AC172" s="39"/>
      <c r="AD172" s="39"/>
      <c r="AE172" s="39"/>
      <c r="AF172" s="39"/>
      <c r="AG172" s="39"/>
      <c r="AH172" s="39"/>
      <c r="AI172" s="39"/>
      <c r="AJ172" s="39"/>
      <c r="AK172" s="39"/>
      <c r="AL172" s="39"/>
    </row>
    <row r="173" ht="14.25" customHeight="1">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c r="AB173" s="39"/>
      <c r="AC173" s="39"/>
      <c r="AD173" s="39"/>
      <c r="AE173" s="39"/>
      <c r="AF173" s="39"/>
      <c r="AG173" s="39"/>
      <c r="AH173" s="39"/>
      <c r="AI173" s="39"/>
      <c r="AJ173" s="39"/>
      <c r="AK173" s="39"/>
      <c r="AL173" s="39"/>
    </row>
    <row r="174" ht="14.25" customHeight="1">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row>
    <row r="175" ht="14.25" customHeight="1">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c r="AB175" s="39"/>
      <c r="AC175" s="39"/>
      <c r="AD175" s="39"/>
      <c r="AE175" s="39"/>
      <c r="AF175" s="39"/>
      <c r="AG175" s="39"/>
      <c r="AH175" s="39"/>
      <c r="AI175" s="39"/>
      <c r="AJ175" s="39"/>
      <c r="AK175" s="39"/>
      <c r="AL175" s="39"/>
    </row>
    <row r="176" ht="14.25" customHeight="1">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row>
    <row r="177" ht="14.25" customHeight="1">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c r="AB177" s="39"/>
      <c r="AC177" s="39"/>
      <c r="AD177" s="39"/>
      <c r="AE177" s="39"/>
      <c r="AF177" s="39"/>
      <c r="AG177" s="39"/>
      <c r="AH177" s="39"/>
      <c r="AI177" s="39"/>
      <c r="AJ177" s="39"/>
      <c r="AK177" s="39"/>
      <c r="AL177" s="39"/>
    </row>
    <row r="178" ht="14.25" customHeight="1">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c r="AB178" s="39"/>
      <c r="AC178" s="39"/>
      <c r="AD178" s="39"/>
      <c r="AE178" s="39"/>
      <c r="AF178" s="39"/>
      <c r="AG178" s="39"/>
      <c r="AH178" s="39"/>
      <c r="AI178" s="39"/>
      <c r="AJ178" s="39"/>
      <c r="AK178" s="39"/>
      <c r="AL178" s="39"/>
    </row>
    <row r="179" ht="14.25" customHeight="1">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c r="AB179" s="39"/>
      <c r="AC179" s="39"/>
      <c r="AD179" s="39"/>
      <c r="AE179" s="39"/>
      <c r="AF179" s="39"/>
      <c r="AG179" s="39"/>
      <c r="AH179" s="39"/>
      <c r="AI179" s="39"/>
      <c r="AJ179" s="39"/>
      <c r="AK179" s="39"/>
      <c r="AL179" s="39"/>
    </row>
    <row r="180" ht="14.25" customHeight="1">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c r="AA180" s="39"/>
      <c r="AB180" s="39"/>
      <c r="AC180" s="39"/>
      <c r="AD180" s="39"/>
      <c r="AE180" s="39"/>
      <c r="AF180" s="39"/>
      <c r="AG180" s="39"/>
      <c r="AH180" s="39"/>
      <c r="AI180" s="39"/>
      <c r="AJ180" s="39"/>
      <c r="AK180" s="39"/>
      <c r="AL180" s="39"/>
    </row>
    <row r="181" ht="14.25" customHeight="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c r="AB181" s="39"/>
      <c r="AC181" s="39"/>
      <c r="AD181" s="39"/>
      <c r="AE181" s="39"/>
      <c r="AF181" s="39"/>
      <c r="AG181" s="39"/>
      <c r="AH181" s="39"/>
      <c r="AI181" s="39"/>
      <c r="AJ181" s="39"/>
      <c r="AK181" s="39"/>
      <c r="AL181" s="39"/>
    </row>
    <row r="182" ht="14.25" customHeight="1">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c r="AA182" s="39"/>
      <c r="AB182" s="39"/>
      <c r="AC182" s="39"/>
      <c r="AD182" s="39"/>
      <c r="AE182" s="39"/>
      <c r="AF182" s="39"/>
      <c r="AG182" s="39"/>
      <c r="AH182" s="39"/>
      <c r="AI182" s="39"/>
      <c r="AJ182" s="39"/>
      <c r="AK182" s="39"/>
      <c r="AL182" s="39"/>
    </row>
    <row r="183" ht="14.25" customHeight="1">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row>
    <row r="184" ht="14.25" customHeight="1">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c r="AB184" s="39"/>
      <c r="AC184" s="39"/>
      <c r="AD184" s="39"/>
      <c r="AE184" s="39"/>
      <c r="AF184" s="39"/>
      <c r="AG184" s="39"/>
      <c r="AH184" s="39"/>
      <c r="AI184" s="39"/>
      <c r="AJ184" s="39"/>
      <c r="AK184" s="39"/>
      <c r="AL184" s="39"/>
    </row>
    <row r="185" ht="14.25" customHeight="1">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c r="AK185" s="39"/>
      <c r="AL185" s="39"/>
    </row>
    <row r="186" ht="14.25" customHeight="1">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c r="AB186" s="39"/>
      <c r="AC186" s="39"/>
      <c r="AD186" s="39"/>
      <c r="AE186" s="39"/>
      <c r="AF186" s="39"/>
      <c r="AG186" s="39"/>
      <c r="AH186" s="39"/>
      <c r="AI186" s="39"/>
      <c r="AJ186" s="39"/>
      <c r="AK186" s="39"/>
      <c r="AL186" s="39"/>
    </row>
    <row r="187" ht="14.25" customHeight="1">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c r="AJ187" s="39"/>
      <c r="AK187" s="39"/>
      <c r="AL187" s="39"/>
    </row>
    <row r="188" ht="14.25" customHeight="1">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c r="AA188" s="39"/>
      <c r="AB188" s="39"/>
      <c r="AC188" s="39"/>
      <c r="AD188" s="39"/>
      <c r="AE188" s="39"/>
      <c r="AF188" s="39"/>
      <c r="AG188" s="39"/>
      <c r="AH188" s="39"/>
      <c r="AI188" s="39"/>
      <c r="AJ188" s="39"/>
      <c r="AK188" s="39"/>
      <c r="AL188" s="39"/>
    </row>
    <row r="189" ht="14.25" customHeight="1">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c r="AH189" s="39"/>
      <c r="AI189" s="39"/>
      <c r="AJ189" s="39"/>
      <c r="AK189" s="39"/>
      <c r="AL189" s="39"/>
    </row>
    <row r="190" ht="14.25" customHeight="1">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39"/>
      <c r="AB190" s="39"/>
      <c r="AC190" s="39"/>
      <c r="AD190" s="39"/>
      <c r="AE190" s="39"/>
      <c r="AF190" s="39"/>
      <c r="AG190" s="39"/>
      <c r="AH190" s="39"/>
      <c r="AI190" s="39"/>
      <c r="AJ190" s="39"/>
      <c r="AK190" s="39"/>
      <c r="AL190" s="39"/>
    </row>
    <row r="191" ht="14.25" customHeight="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39"/>
      <c r="AC191" s="39"/>
      <c r="AD191" s="39"/>
      <c r="AE191" s="39"/>
      <c r="AF191" s="39"/>
      <c r="AG191" s="39"/>
      <c r="AH191" s="39"/>
      <c r="AI191" s="39"/>
      <c r="AJ191" s="39"/>
      <c r="AK191" s="39"/>
      <c r="AL191" s="39"/>
    </row>
    <row r="192" ht="14.25" customHeight="1">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39"/>
      <c r="AB192" s="39"/>
      <c r="AC192" s="39"/>
      <c r="AD192" s="39"/>
      <c r="AE192" s="39"/>
      <c r="AF192" s="39"/>
      <c r="AG192" s="39"/>
      <c r="AH192" s="39"/>
      <c r="AI192" s="39"/>
      <c r="AJ192" s="39"/>
      <c r="AK192" s="39"/>
      <c r="AL192" s="39"/>
    </row>
    <row r="193" ht="14.25" customHeight="1">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c r="AA193" s="39"/>
      <c r="AB193" s="39"/>
      <c r="AC193" s="39"/>
      <c r="AD193" s="39"/>
      <c r="AE193" s="39"/>
      <c r="AF193" s="39"/>
      <c r="AG193" s="39"/>
      <c r="AH193" s="39"/>
      <c r="AI193" s="39"/>
      <c r="AJ193" s="39"/>
      <c r="AK193" s="39"/>
      <c r="AL193" s="39"/>
    </row>
    <row r="194" ht="14.25" customHeight="1">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c r="AA194" s="39"/>
      <c r="AB194" s="39"/>
      <c r="AC194" s="39"/>
      <c r="AD194" s="39"/>
      <c r="AE194" s="39"/>
      <c r="AF194" s="39"/>
      <c r="AG194" s="39"/>
      <c r="AH194" s="39"/>
      <c r="AI194" s="39"/>
      <c r="AJ194" s="39"/>
      <c r="AK194" s="39"/>
      <c r="AL194" s="39"/>
    </row>
    <row r="195" ht="14.25" customHeight="1">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c r="AA195" s="39"/>
      <c r="AB195" s="39"/>
      <c r="AC195" s="39"/>
      <c r="AD195" s="39"/>
      <c r="AE195" s="39"/>
      <c r="AF195" s="39"/>
      <c r="AG195" s="39"/>
      <c r="AH195" s="39"/>
      <c r="AI195" s="39"/>
      <c r="AJ195" s="39"/>
      <c r="AK195" s="39"/>
      <c r="AL195" s="39"/>
    </row>
    <row r="196" ht="14.25" customHeight="1">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c r="AA196" s="39"/>
      <c r="AB196" s="39"/>
      <c r="AC196" s="39"/>
      <c r="AD196" s="39"/>
      <c r="AE196" s="39"/>
      <c r="AF196" s="39"/>
      <c r="AG196" s="39"/>
      <c r="AH196" s="39"/>
      <c r="AI196" s="39"/>
      <c r="AJ196" s="39"/>
      <c r="AK196" s="39"/>
      <c r="AL196" s="39"/>
    </row>
    <row r="197" ht="14.25" customHeight="1">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c r="AA197" s="39"/>
      <c r="AB197" s="39"/>
      <c r="AC197" s="39"/>
      <c r="AD197" s="39"/>
      <c r="AE197" s="39"/>
      <c r="AF197" s="39"/>
      <c r="AG197" s="39"/>
      <c r="AH197" s="39"/>
      <c r="AI197" s="39"/>
      <c r="AJ197" s="39"/>
      <c r="AK197" s="39"/>
      <c r="AL197" s="39"/>
    </row>
    <row r="198" ht="14.25" customHeight="1">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c r="AA198" s="39"/>
      <c r="AB198" s="39"/>
      <c r="AC198" s="39"/>
      <c r="AD198" s="39"/>
      <c r="AE198" s="39"/>
      <c r="AF198" s="39"/>
      <c r="AG198" s="39"/>
      <c r="AH198" s="39"/>
      <c r="AI198" s="39"/>
      <c r="AJ198" s="39"/>
      <c r="AK198" s="39"/>
      <c r="AL198" s="39"/>
    </row>
    <row r="199" ht="14.25" customHeight="1">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c r="AB199" s="39"/>
      <c r="AC199" s="39"/>
      <c r="AD199" s="39"/>
      <c r="AE199" s="39"/>
      <c r="AF199" s="39"/>
      <c r="AG199" s="39"/>
      <c r="AH199" s="39"/>
      <c r="AI199" s="39"/>
      <c r="AJ199" s="39"/>
      <c r="AK199" s="39"/>
      <c r="AL199" s="39"/>
    </row>
    <row r="200" ht="14.25" customHeight="1">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c r="AA200" s="39"/>
      <c r="AB200" s="39"/>
      <c r="AC200" s="39"/>
      <c r="AD200" s="39"/>
      <c r="AE200" s="39"/>
      <c r="AF200" s="39"/>
      <c r="AG200" s="39"/>
      <c r="AH200" s="39"/>
      <c r="AI200" s="39"/>
      <c r="AJ200" s="39"/>
      <c r="AK200" s="39"/>
      <c r="AL200" s="39"/>
    </row>
    <row r="201" ht="14.25" customHeight="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c r="AA201" s="39"/>
      <c r="AB201" s="39"/>
      <c r="AC201" s="39"/>
      <c r="AD201" s="39"/>
      <c r="AE201" s="39"/>
      <c r="AF201" s="39"/>
      <c r="AG201" s="39"/>
      <c r="AH201" s="39"/>
      <c r="AI201" s="39"/>
      <c r="AJ201" s="39"/>
      <c r="AK201" s="39"/>
      <c r="AL201" s="39"/>
    </row>
    <row r="202" ht="14.25" customHeight="1">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c r="AA202" s="39"/>
      <c r="AB202" s="39"/>
      <c r="AC202" s="39"/>
      <c r="AD202" s="39"/>
      <c r="AE202" s="39"/>
      <c r="AF202" s="39"/>
      <c r="AG202" s="39"/>
      <c r="AH202" s="39"/>
      <c r="AI202" s="39"/>
      <c r="AJ202" s="39"/>
      <c r="AK202" s="39"/>
      <c r="AL202" s="39"/>
    </row>
    <row r="203" ht="14.25" customHeight="1">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c r="AA203" s="39"/>
      <c r="AB203" s="39"/>
      <c r="AC203" s="39"/>
      <c r="AD203" s="39"/>
      <c r="AE203" s="39"/>
      <c r="AF203" s="39"/>
      <c r="AG203" s="39"/>
      <c r="AH203" s="39"/>
      <c r="AI203" s="39"/>
      <c r="AJ203" s="39"/>
      <c r="AK203" s="39"/>
      <c r="AL203" s="39"/>
    </row>
    <row r="204" ht="14.25" customHeight="1">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c r="AA204" s="39"/>
      <c r="AB204" s="39"/>
      <c r="AC204" s="39"/>
      <c r="AD204" s="39"/>
      <c r="AE204" s="39"/>
      <c r="AF204" s="39"/>
      <c r="AG204" s="39"/>
      <c r="AH204" s="39"/>
      <c r="AI204" s="39"/>
      <c r="AJ204" s="39"/>
      <c r="AK204" s="39"/>
      <c r="AL204" s="39"/>
    </row>
    <row r="205" ht="14.25" customHeight="1">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c r="AI205" s="39"/>
      <c r="AJ205" s="39"/>
      <c r="AK205" s="39"/>
      <c r="AL205" s="39"/>
    </row>
    <row r="206" ht="14.25" customHeight="1">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c r="AA206" s="39"/>
      <c r="AB206" s="39"/>
      <c r="AC206" s="39"/>
      <c r="AD206" s="39"/>
      <c r="AE206" s="39"/>
      <c r="AF206" s="39"/>
      <c r="AG206" s="39"/>
      <c r="AH206" s="39"/>
      <c r="AI206" s="39"/>
      <c r="AJ206" s="39"/>
      <c r="AK206" s="39"/>
      <c r="AL206" s="39"/>
    </row>
    <row r="207" ht="14.25" customHeight="1">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c r="AB207" s="39"/>
      <c r="AC207" s="39"/>
      <c r="AD207" s="39"/>
      <c r="AE207" s="39"/>
      <c r="AF207" s="39"/>
      <c r="AG207" s="39"/>
      <c r="AH207" s="39"/>
      <c r="AI207" s="39"/>
      <c r="AJ207" s="39"/>
      <c r="AK207" s="39"/>
      <c r="AL207" s="39"/>
    </row>
    <row r="208" ht="14.25" customHeight="1">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c r="AA208" s="39"/>
      <c r="AB208" s="39"/>
      <c r="AC208" s="39"/>
      <c r="AD208" s="39"/>
      <c r="AE208" s="39"/>
      <c r="AF208" s="39"/>
      <c r="AG208" s="39"/>
      <c r="AH208" s="39"/>
      <c r="AI208" s="39"/>
      <c r="AJ208" s="39"/>
      <c r="AK208" s="39"/>
      <c r="AL208" s="39"/>
    </row>
    <row r="209" ht="14.25" customHeight="1">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c r="AH209" s="39"/>
      <c r="AI209" s="39"/>
      <c r="AJ209" s="39"/>
      <c r="AK209" s="39"/>
      <c r="AL209" s="39"/>
    </row>
    <row r="210" ht="14.25" customHeight="1">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c r="AA210" s="39"/>
      <c r="AB210" s="39"/>
      <c r="AC210" s="39"/>
      <c r="AD210" s="39"/>
      <c r="AE210" s="39"/>
      <c r="AF210" s="39"/>
      <c r="AG210" s="39"/>
      <c r="AH210" s="39"/>
      <c r="AI210" s="39"/>
      <c r="AJ210" s="39"/>
      <c r="AK210" s="39"/>
      <c r="AL210" s="39"/>
    </row>
    <row r="211" ht="14.25" customHeight="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c r="AB211" s="39"/>
      <c r="AC211" s="39"/>
      <c r="AD211" s="39"/>
      <c r="AE211" s="39"/>
      <c r="AF211" s="39"/>
      <c r="AG211" s="39"/>
      <c r="AH211" s="39"/>
      <c r="AI211" s="39"/>
      <c r="AJ211" s="39"/>
      <c r="AK211" s="39"/>
      <c r="AL211" s="39"/>
    </row>
    <row r="212" ht="14.25" customHeight="1">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c r="AA212" s="39"/>
      <c r="AB212" s="39"/>
      <c r="AC212" s="39"/>
      <c r="AD212" s="39"/>
      <c r="AE212" s="39"/>
      <c r="AF212" s="39"/>
      <c r="AG212" s="39"/>
      <c r="AH212" s="39"/>
      <c r="AI212" s="39"/>
      <c r="AJ212" s="39"/>
      <c r="AK212" s="39"/>
      <c r="AL212" s="39"/>
    </row>
    <row r="213" ht="14.25" customHeight="1">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c r="AA213" s="39"/>
      <c r="AB213" s="39"/>
      <c r="AC213" s="39"/>
      <c r="AD213" s="39"/>
      <c r="AE213" s="39"/>
      <c r="AF213" s="39"/>
      <c r="AG213" s="39"/>
      <c r="AH213" s="39"/>
      <c r="AI213" s="39"/>
      <c r="AJ213" s="39"/>
      <c r="AK213" s="39"/>
      <c r="AL213" s="39"/>
    </row>
    <row r="214" ht="14.25" customHeight="1">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c r="AA214" s="39"/>
      <c r="AB214" s="39"/>
      <c r="AC214" s="39"/>
      <c r="AD214" s="39"/>
      <c r="AE214" s="39"/>
      <c r="AF214" s="39"/>
      <c r="AG214" s="39"/>
      <c r="AH214" s="39"/>
      <c r="AI214" s="39"/>
      <c r="AJ214" s="39"/>
      <c r="AK214" s="39"/>
      <c r="AL214" s="39"/>
    </row>
    <row r="215" ht="14.25" customHeight="1">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c r="AH215" s="39"/>
      <c r="AI215" s="39"/>
      <c r="AJ215" s="39"/>
      <c r="AK215" s="39"/>
      <c r="AL215" s="39"/>
    </row>
    <row r="216" ht="14.25" customHeight="1">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c r="AA216" s="39"/>
      <c r="AB216" s="39"/>
      <c r="AC216" s="39"/>
      <c r="AD216" s="39"/>
      <c r="AE216" s="39"/>
      <c r="AF216" s="39"/>
      <c r="AG216" s="39"/>
      <c r="AH216" s="39"/>
      <c r="AI216" s="39"/>
      <c r="AJ216" s="39"/>
      <c r="AK216" s="39"/>
      <c r="AL216" s="39"/>
    </row>
    <row r="217" ht="14.25" customHeight="1">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c r="AA217" s="39"/>
      <c r="AB217" s="39"/>
      <c r="AC217" s="39"/>
      <c r="AD217" s="39"/>
      <c r="AE217" s="39"/>
      <c r="AF217" s="39"/>
      <c r="AG217" s="39"/>
      <c r="AH217" s="39"/>
      <c r="AI217" s="39"/>
      <c r="AJ217" s="39"/>
      <c r="AK217" s="39"/>
      <c r="AL217" s="39"/>
    </row>
    <row r="218" ht="14.25" customHeight="1">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c r="AA218" s="39"/>
      <c r="AB218" s="39"/>
      <c r="AC218" s="39"/>
      <c r="AD218" s="39"/>
      <c r="AE218" s="39"/>
      <c r="AF218" s="39"/>
      <c r="AG218" s="39"/>
      <c r="AH218" s="39"/>
      <c r="AI218" s="39"/>
      <c r="AJ218" s="39"/>
      <c r="AK218" s="39"/>
      <c r="AL218" s="39"/>
    </row>
    <row r="219" ht="14.25" customHeight="1">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c r="AA219" s="39"/>
      <c r="AB219" s="39"/>
      <c r="AC219" s="39"/>
      <c r="AD219" s="39"/>
      <c r="AE219" s="39"/>
      <c r="AF219" s="39"/>
      <c r="AG219" s="39"/>
      <c r="AH219" s="39"/>
      <c r="AI219" s="39"/>
      <c r="AJ219" s="39"/>
      <c r="AK219" s="39"/>
      <c r="AL219" s="39"/>
    </row>
    <row r="220" ht="14.25" customHeight="1">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c r="AA220" s="39"/>
      <c r="AB220" s="39"/>
      <c r="AC220" s="39"/>
      <c r="AD220" s="39"/>
      <c r="AE220" s="39"/>
      <c r="AF220" s="39"/>
      <c r="AG220" s="39"/>
      <c r="AH220" s="39"/>
      <c r="AI220" s="39"/>
      <c r="AJ220" s="39"/>
      <c r="AK220" s="39"/>
      <c r="AL220" s="39"/>
    </row>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Q2"/>
    <hyperlink r:id="rId2" ref="Q3"/>
    <hyperlink r:id="rId3" ref="Q4"/>
    <hyperlink r:id="rId4" ref="Q5"/>
    <hyperlink r:id="rId5" ref="Q6"/>
    <hyperlink r:id="rId6" ref="Q7"/>
    <hyperlink r:id="rId7" ref="Q8"/>
    <hyperlink r:id="rId8" ref="Q9"/>
  </hyperlinks>
  <printOptions/>
  <pageMargins bottom="0.75" footer="0.0" header="0.0" left="0.7" right="0.7" top="0.75"/>
  <pageSetup orientation="landscape"/>
  <drawing r:id="rId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13"/>
    <col customWidth="1" min="2" max="2" width="77.0"/>
    <col customWidth="1" min="3" max="3" width="19.0"/>
    <col customWidth="1" min="4" max="5" width="55.25"/>
    <col customWidth="1" min="6" max="6" width="31.5"/>
    <col customWidth="1" min="7" max="7" width="34.13"/>
    <col customWidth="1" min="8" max="26" width="8.75"/>
  </cols>
  <sheetData>
    <row r="1" ht="14.25" customHeight="1">
      <c r="A1" s="47">
        <v>1.0</v>
      </c>
      <c r="B1" s="47" t="s">
        <v>118</v>
      </c>
      <c r="C1" s="48"/>
      <c r="D1" s="48"/>
      <c r="E1" s="48"/>
      <c r="F1" s="48" t="s">
        <v>119</v>
      </c>
      <c r="G1" s="48" t="s">
        <v>119</v>
      </c>
      <c r="H1" s="48"/>
      <c r="I1" s="48"/>
      <c r="J1" s="48"/>
      <c r="K1" s="48"/>
      <c r="L1" s="48"/>
      <c r="M1" s="48"/>
      <c r="N1" s="48"/>
      <c r="O1" s="48"/>
      <c r="P1" s="48"/>
      <c r="Q1" s="48"/>
      <c r="R1" s="48"/>
      <c r="S1" s="48"/>
      <c r="T1" s="48"/>
      <c r="U1" s="48"/>
      <c r="V1" s="48"/>
      <c r="W1" s="48"/>
      <c r="X1" s="48"/>
      <c r="Y1" s="48"/>
      <c r="Z1" s="48"/>
    </row>
    <row r="2" ht="14.25" customHeight="1">
      <c r="A2" s="49"/>
      <c r="B2" s="49" t="s">
        <v>120</v>
      </c>
      <c r="C2" s="49" t="s">
        <v>121</v>
      </c>
      <c r="D2" s="50"/>
      <c r="E2" s="50"/>
      <c r="F2" s="50" t="s">
        <v>122</v>
      </c>
      <c r="G2" s="50" t="s">
        <v>123</v>
      </c>
      <c r="H2" s="49"/>
      <c r="I2" s="49"/>
      <c r="J2" s="49"/>
      <c r="K2" s="49"/>
      <c r="L2" s="49"/>
      <c r="M2" s="49"/>
      <c r="N2" s="49"/>
      <c r="O2" s="49"/>
      <c r="P2" s="49"/>
      <c r="Q2" s="49"/>
      <c r="R2" s="49"/>
      <c r="S2" s="49"/>
      <c r="T2" s="49"/>
      <c r="U2" s="49"/>
      <c r="V2" s="49"/>
      <c r="W2" s="49"/>
      <c r="X2" s="49"/>
      <c r="Y2" s="49"/>
      <c r="Z2" s="49"/>
    </row>
    <row r="3" ht="14.25" customHeight="1">
      <c r="A3" s="49"/>
      <c r="B3" s="49" t="s">
        <v>124</v>
      </c>
      <c r="C3" s="49" t="s">
        <v>125</v>
      </c>
      <c r="D3" s="49"/>
      <c r="E3" s="49"/>
      <c r="F3" s="49"/>
      <c r="G3" s="49"/>
      <c r="H3" s="49"/>
      <c r="I3" s="49"/>
      <c r="J3" s="49"/>
      <c r="K3" s="49"/>
      <c r="L3" s="49"/>
      <c r="M3" s="49"/>
      <c r="N3" s="49"/>
      <c r="O3" s="49"/>
      <c r="P3" s="49"/>
      <c r="Q3" s="49"/>
      <c r="R3" s="49"/>
      <c r="S3" s="49"/>
      <c r="T3" s="49"/>
      <c r="U3" s="49"/>
      <c r="V3" s="49"/>
      <c r="W3" s="49"/>
      <c r="X3" s="49"/>
      <c r="Y3" s="49"/>
      <c r="Z3" s="49"/>
    </row>
    <row r="4" ht="14.25" customHeight="1">
      <c r="A4" s="49"/>
      <c r="B4" s="49" t="s">
        <v>126</v>
      </c>
      <c r="C4" s="49" t="s">
        <v>127</v>
      </c>
      <c r="D4" s="50" t="s">
        <v>128</v>
      </c>
      <c r="E4" s="50"/>
      <c r="F4" s="50" t="s">
        <v>129</v>
      </c>
      <c r="G4" s="49"/>
      <c r="H4" s="49"/>
      <c r="I4" s="49"/>
      <c r="J4" s="49"/>
      <c r="K4" s="49"/>
      <c r="L4" s="49"/>
      <c r="M4" s="49"/>
      <c r="N4" s="49"/>
      <c r="O4" s="49"/>
      <c r="P4" s="49"/>
      <c r="Q4" s="49"/>
      <c r="R4" s="49"/>
      <c r="S4" s="49"/>
      <c r="T4" s="49"/>
      <c r="U4" s="49"/>
      <c r="V4" s="49"/>
      <c r="W4" s="49"/>
      <c r="X4" s="49"/>
      <c r="Y4" s="49"/>
      <c r="Z4" s="49"/>
    </row>
    <row r="5" ht="14.25" customHeight="1">
      <c r="A5" s="49"/>
      <c r="D5" s="49" t="s">
        <v>130</v>
      </c>
      <c r="E5" s="49"/>
      <c r="F5" s="49"/>
      <c r="G5" s="49"/>
      <c r="H5" s="49"/>
      <c r="I5" s="49"/>
      <c r="J5" s="49"/>
      <c r="K5" s="49"/>
      <c r="L5" s="49"/>
      <c r="M5" s="49"/>
      <c r="N5" s="49"/>
      <c r="O5" s="49"/>
      <c r="P5" s="49"/>
      <c r="Q5" s="49"/>
      <c r="R5" s="49"/>
      <c r="S5" s="49"/>
      <c r="T5" s="49"/>
      <c r="U5" s="49"/>
      <c r="V5" s="49"/>
      <c r="W5" s="49"/>
      <c r="X5" s="49"/>
      <c r="Y5" s="49"/>
      <c r="Z5" s="49"/>
    </row>
    <row r="6" ht="14.25" customHeight="1">
      <c r="A6" s="49"/>
      <c r="B6" s="49" t="s">
        <v>131</v>
      </c>
      <c r="C6" s="49" t="s">
        <v>132</v>
      </c>
      <c r="D6" s="49"/>
      <c r="E6" s="49"/>
      <c r="F6" s="49"/>
      <c r="G6" s="49"/>
      <c r="H6" s="49"/>
      <c r="I6" s="49"/>
      <c r="J6" s="49"/>
      <c r="K6" s="49"/>
      <c r="L6" s="49"/>
      <c r="M6" s="49"/>
      <c r="N6" s="49"/>
      <c r="O6" s="49"/>
      <c r="P6" s="49"/>
      <c r="Q6" s="49"/>
      <c r="R6" s="49"/>
      <c r="S6" s="49"/>
      <c r="T6" s="49"/>
      <c r="U6" s="49"/>
      <c r="V6" s="49"/>
      <c r="W6" s="49"/>
      <c r="X6" s="49"/>
      <c r="Y6" s="49"/>
      <c r="Z6" s="49"/>
    </row>
    <row r="7" ht="14.25" customHeight="1">
      <c r="A7" s="49"/>
      <c r="B7" s="49" t="s">
        <v>133</v>
      </c>
      <c r="C7" s="49" t="s">
        <v>134</v>
      </c>
      <c r="D7" s="49"/>
      <c r="E7" s="49"/>
      <c r="F7" s="49"/>
      <c r="G7" s="49"/>
      <c r="H7" s="49"/>
      <c r="I7" s="49"/>
      <c r="J7" s="49"/>
      <c r="K7" s="49"/>
      <c r="L7" s="49"/>
      <c r="M7" s="49"/>
      <c r="N7" s="49"/>
      <c r="O7" s="49"/>
      <c r="P7" s="49"/>
      <c r="Q7" s="49"/>
      <c r="R7" s="49"/>
      <c r="S7" s="49"/>
      <c r="T7" s="49"/>
      <c r="U7" s="49"/>
      <c r="V7" s="49"/>
      <c r="W7" s="49"/>
      <c r="X7" s="49"/>
      <c r="Y7" s="49"/>
      <c r="Z7" s="49"/>
    </row>
    <row r="8" ht="14.25" customHeight="1">
      <c r="A8" s="51">
        <v>2.0</v>
      </c>
      <c r="B8" s="51" t="s">
        <v>135</v>
      </c>
      <c r="C8" s="52"/>
      <c r="D8" s="52"/>
      <c r="E8" s="52"/>
      <c r="F8" s="52" t="s">
        <v>119</v>
      </c>
      <c r="G8" s="52" t="s">
        <v>119</v>
      </c>
      <c r="H8" s="52"/>
      <c r="I8" s="52"/>
      <c r="J8" s="52"/>
      <c r="K8" s="52"/>
      <c r="L8" s="52"/>
      <c r="M8" s="52"/>
      <c r="N8" s="52"/>
      <c r="O8" s="52"/>
      <c r="P8" s="52"/>
      <c r="Q8" s="52"/>
      <c r="R8" s="52"/>
      <c r="S8" s="52"/>
      <c r="T8" s="52"/>
      <c r="U8" s="52"/>
      <c r="V8" s="52"/>
      <c r="W8" s="52"/>
      <c r="X8" s="52"/>
      <c r="Y8" s="52"/>
      <c r="Z8" s="52"/>
    </row>
    <row r="9" ht="14.25" customHeight="1">
      <c r="A9" s="49"/>
      <c r="B9" s="49" t="s">
        <v>136</v>
      </c>
      <c r="C9" s="49" t="s">
        <v>137</v>
      </c>
      <c r="D9" s="49"/>
      <c r="E9" s="49"/>
      <c r="F9" s="49"/>
      <c r="G9" s="49"/>
      <c r="H9" s="49"/>
      <c r="I9" s="49"/>
      <c r="J9" s="49"/>
      <c r="K9" s="49"/>
      <c r="L9" s="49"/>
      <c r="M9" s="49"/>
      <c r="N9" s="49"/>
      <c r="O9" s="49"/>
      <c r="P9" s="49"/>
      <c r="Q9" s="49"/>
      <c r="R9" s="49"/>
      <c r="S9" s="49"/>
      <c r="T9" s="49"/>
      <c r="U9" s="49"/>
      <c r="V9" s="49"/>
      <c r="W9" s="49"/>
      <c r="X9" s="49"/>
      <c r="Y9" s="49"/>
      <c r="Z9" s="49"/>
    </row>
    <row r="10" ht="14.25" customHeight="1">
      <c r="A10" s="49"/>
      <c r="B10" s="49" t="s">
        <v>138</v>
      </c>
      <c r="C10" s="49" t="s">
        <v>139</v>
      </c>
      <c r="D10" s="50" t="s">
        <v>140</v>
      </c>
      <c r="E10" s="49" t="s">
        <v>141</v>
      </c>
      <c r="F10" s="50" t="s">
        <v>142</v>
      </c>
      <c r="G10" s="50" t="s">
        <v>143</v>
      </c>
      <c r="H10" s="49"/>
      <c r="I10" s="49"/>
      <c r="J10" s="49"/>
      <c r="K10" s="49"/>
      <c r="L10" s="49"/>
      <c r="M10" s="49"/>
      <c r="N10" s="49"/>
      <c r="O10" s="49"/>
      <c r="P10" s="49"/>
      <c r="Q10" s="49"/>
      <c r="R10" s="49"/>
      <c r="S10" s="49"/>
      <c r="T10" s="49"/>
      <c r="U10" s="49"/>
      <c r="V10" s="49"/>
      <c r="W10" s="49"/>
      <c r="X10" s="49"/>
      <c r="Y10" s="49"/>
      <c r="Z10" s="49"/>
    </row>
    <row r="11" ht="14.25" customHeight="1">
      <c r="A11" s="49"/>
      <c r="E11" s="49" t="s">
        <v>144</v>
      </c>
      <c r="F11" s="50" t="s">
        <v>145</v>
      </c>
      <c r="G11" s="50" t="s">
        <v>143</v>
      </c>
      <c r="H11" s="49"/>
      <c r="I11" s="49"/>
      <c r="J11" s="49"/>
      <c r="K11" s="49"/>
      <c r="L11" s="49"/>
      <c r="M11" s="49"/>
      <c r="N11" s="49"/>
      <c r="O11" s="49"/>
      <c r="P11" s="49"/>
      <c r="Q11" s="49"/>
      <c r="R11" s="49"/>
      <c r="S11" s="49"/>
      <c r="T11" s="49"/>
      <c r="U11" s="49"/>
      <c r="V11" s="49"/>
      <c r="W11" s="49"/>
      <c r="X11" s="49"/>
      <c r="Y11" s="49"/>
      <c r="Z11" s="49"/>
    </row>
    <row r="12" ht="14.25" customHeight="1">
      <c r="A12" s="49"/>
      <c r="E12" s="49" t="s">
        <v>146</v>
      </c>
      <c r="F12" s="50" t="s">
        <v>147</v>
      </c>
      <c r="G12" s="50" t="s">
        <v>148</v>
      </c>
      <c r="H12" s="49"/>
      <c r="I12" s="49"/>
      <c r="J12" s="49"/>
      <c r="K12" s="49"/>
      <c r="L12" s="49"/>
      <c r="M12" s="49"/>
      <c r="N12" s="49"/>
      <c r="O12" s="49"/>
      <c r="P12" s="49"/>
      <c r="Q12" s="49"/>
      <c r="R12" s="49"/>
      <c r="S12" s="49"/>
      <c r="T12" s="49"/>
      <c r="U12" s="49"/>
      <c r="V12" s="49"/>
      <c r="W12" s="49"/>
      <c r="X12" s="49"/>
      <c r="Y12" s="49"/>
      <c r="Z12" s="49"/>
    </row>
    <row r="13" ht="14.25" customHeight="1">
      <c r="A13" s="49"/>
      <c r="D13" s="50" t="s">
        <v>149</v>
      </c>
      <c r="E13" s="49"/>
      <c r="F13" s="50" t="s">
        <v>150</v>
      </c>
      <c r="G13" s="50"/>
      <c r="H13" s="49"/>
      <c r="I13" s="49"/>
      <c r="J13" s="49"/>
      <c r="K13" s="49"/>
      <c r="L13" s="49"/>
      <c r="M13" s="49"/>
      <c r="N13" s="49"/>
      <c r="O13" s="49"/>
      <c r="P13" s="49"/>
      <c r="Q13" s="49"/>
      <c r="R13" s="49"/>
      <c r="S13" s="49"/>
      <c r="T13" s="49"/>
      <c r="U13" s="49"/>
      <c r="V13" s="49"/>
      <c r="W13" s="49"/>
      <c r="X13" s="49"/>
      <c r="Y13" s="49"/>
      <c r="Z13" s="49"/>
    </row>
    <row r="14" ht="14.25" customHeight="1">
      <c r="A14" s="49"/>
      <c r="D14" s="50" t="s">
        <v>151</v>
      </c>
      <c r="E14" s="49"/>
      <c r="F14" s="50" t="s">
        <v>152</v>
      </c>
      <c r="G14" s="50"/>
      <c r="H14" s="49"/>
      <c r="I14" s="49"/>
      <c r="J14" s="49"/>
      <c r="K14" s="49"/>
      <c r="L14" s="49"/>
      <c r="M14" s="49"/>
      <c r="N14" s="49"/>
      <c r="O14" s="49"/>
      <c r="P14" s="49"/>
      <c r="Q14" s="49"/>
      <c r="R14" s="49"/>
      <c r="S14" s="49"/>
      <c r="T14" s="49"/>
      <c r="U14" s="49"/>
      <c r="V14" s="49"/>
      <c r="W14" s="49"/>
      <c r="X14" s="49"/>
      <c r="Y14" s="49"/>
      <c r="Z14" s="49"/>
    </row>
    <row r="15" ht="14.25" customHeight="1">
      <c r="A15" s="49"/>
      <c r="D15" s="49" t="s">
        <v>153</v>
      </c>
      <c r="E15" s="49"/>
      <c r="F15" s="49"/>
      <c r="G15" s="49"/>
      <c r="H15" s="49"/>
      <c r="I15" s="49"/>
      <c r="J15" s="49"/>
      <c r="K15" s="49"/>
      <c r="L15" s="49"/>
      <c r="M15" s="49"/>
      <c r="N15" s="49"/>
      <c r="O15" s="49"/>
      <c r="P15" s="49"/>
      <c r="Q15" s="49"/>
      <c r="R15" s="49"/>
      <c r="S15" s="49"/>
      <c r="T15" s="49"/>
      <c r="U15" s="49"/>
      <c r="V15" s="49"/>
      <c r="W15" s="49"/>
      <c r="X15" s="49"/>
      <c r="Y15" s="49"/>
      <c r="Z15" s="49"/>
    </row>
    <row r="16" ht="14.25" customHeight="1">
      <c r="A16" s="49"/>
      <c r="B16" s="49" t="s">
        <v>154</v>
      </c>
      <c r="C16" s="49" t="s">
        <v>155</v>
      </c>
      <c r="D16" s="49"/>
      <c r="E16" s="49"/>
      <c r="F16" s="49"/>
      <c r="G16" s="49"/>
      <c r="H16" s="49"/>
      <c r="I16" s="49"/>
      <c r="J16" s="49"/>
      <c r="K16" s="49"/>
      <c r="L16" s="49"/>
      <c r="M16" s="49"/>
      <c r="N16" s="49"/>
      <c r="O16" s="49"/>
      <c r="P16" s="49"/>
      <c r="Q16" s="49"/>
      <c r="R16" s="49"/>
      <c r="S16" s="49"/>
      <c r="T16" s="49"/>
      <c r="U16" s="49"/>
      <c r="V16" s="49"/>
      <c r="W16" s="49"/>
      <c r="X16" s="49"/>
      <c r="Y16" s="49"/>
      <c r="Z16" s="49"/>
    </row>
    <row r="17" ht="14.25" customHeight="1">
      <c r="A17" s="49"/>
      <c r="B17" s="49" t="s">
        <v>156</v>
      </c>
      <c r="C17" s="49" t="s">
        <v>157</v>
      </c>
      <c r="D17" s="49"/>
      <c r="E17" s="49"/>
      <c r="F17" s="49"/>
      <c r="G17" s="49"/>
      <c r="H17" s="49"/>
      <c r="I17" s="49"/>
      <c r="J17" s="49"/>
      <c r="K17" s="49"/>
      <c r="L17" s="49"/>
      <c r="M17" s="49"/>
      <c r="N17" s="49"/>
      <c r="O17" s="49"/>
      <c r="P17" s="49"/>
      <c r="Q17" s="49"/>
      <c r="R17" s="49"/>
      <c r="S17" s="49"/>
      <c r="T17" s="49"/>
      <c r="U17" s="49"/>
      <c r="V17" s="49"/>
      <c r="W17" s="49"/>
      <c r="X17" s="49"/>
      <c r="Y17" s="49"/>
      <c r="Z17" s="49"/>
    </row>
    <row r="18" ht="14.25" customHeight="1">
      <c r="A18" s="49"/>
      <c r="B18" s="49" t="s">
        <v>138</v>
      </c>
      <c r="C18" s="49" t="s">
        <v>139</v>
      </c>
      <c r="D18" s="49"/>
      <c r="E18" s="49"/>
      <c r="F18" s="49"/>
      <c r="G18" s="49"/>
      <c r="H18" s="49"/>
      <c r="I18" s="49"/>
      <c r="J18" s="49"/>
      <c r="K18" s="49"/>
      <c r="L18" s="49"/>
      <c r="M18" s="49"/>
      <c r="N18" s="49"/>
      <c r="O18" s="49"/>
      <c r="P18" s="49"/>
      <c r="Q18" s="49"/>
      <c r="R18" s="49"/>
      <c r="S18" s="49"/>
      <c r="T18" s="49"/>
      <c r="U18" s="49"/>
      <c r="V18" s="49"/>
      <c r="W18" s="49"/>
      <c r="X18" s="49"/>
      <c r="Y18" s="49"/>
      <c r="Z18" s="49"/>
    </row>
    <row r="19" ht="14.25" customHeight="1">
      <c r="A19" s="49"/>
      <c r="B19" s="49" t="s">
        <v>158</v>
      </c>
      <c r="C19" s="49" t="s">
        <v>159</v>
      </c>
      <c r="D19" s="49"/>
      <c r="E19" s="49"/>
      <c r="F19" s="49"/>
      <c r="G19" s="49"/>
      <c r="H19" s="49"/>
      <c r="I19" s="49"/>
      <c r="J19" s="49"/>
      <c r="K19" s="49"/>
      <c r="L19" s="49"/>
      <c r="M19" s="49"/>
      <c r="N19" s="49"/>
      <c r="O19" s="49"/>
      <c r="P19" s="49"/>
      <c r="Q19" s="49"/>
      <c r="R19" s="49"/>
      <c r="S19" s="49"/>
      <c r="T19" s="49"/>
      <c r="U19" s="49"/>
      <c r="V19" s="49"/>
      <c r="W19" s="49"/>
      <c r="X19" s="49"/>
      <c r="Y19" s="49"/>
      <c r="Z19" s="49"/>
    </row>
    <row r="20" ht="14.25" customHeight="1">
      <c r="A20" s="53">
        <v>3.0</v>
      </c>
      <c r="B20" s="53" t="s">
        <v>160</v>
      </c>
      <c r="C20" s="54"/>
      <c r="D20" s="54"/>
      <c r="E20" s="54"/>
      <c r="F20" s="54"/>
      <c r="G20" s="54"/>
      <c r="H20" s="54"/>
      <c r="I20" s="54"/>
      <c r="J20" s="54"/>
      <c r="K20" s="54"/>
      <c r="L20" s="54"/>
      <c r="M20" s="54"/>
      <c r="N20" s="54"/>
      <c r="O20" s="54"/>
      <c r="P20" s="54"/>
      <c r="Q20" s="54"/>
      <c r="R20" s="54"/>
      <c r="S20" s="54"/>
      <c r="T20" s="54"/>
      <c r="U20" s="54"/>
      <c r="V20" s="54"/>
      <c r="W20" s="54"/>
      <c r="X20" s="54"/>
      <c r="Y20" s="54"/>
      <c r="Z20" s="54"/>
    </row>
    <row r="21" ht="14.25" customHeight="1">
      <c r="A21" s="49"/>
      <c r="B21" s="49" t="s">
        <v>161</v>
      </c>
      <c r="C21" s="49"/>
      <c r="D21" s="49"/>
      <c r="E21" s="49"/>
      <c r="F21" s="49"/>
      <c r="G21" s="49"/>
      <c r="H21" s="49"/>
      <c r="I21" s="49"/>
      <c r="J21" s="49"/>
      <c r="K21" s="49"/>
      <c r="L21" s="49"/>
      <c r="M21" s="49"/>
      <c r="N21" s="49"/>
      <c r="O21" s="49"/>
      <c r="P21" s="49"/>
      <c r="Q21" s="49"/>
      <c r="R21" s="49"/>
      <c r="S21" s="49"/>
      <c r="T21" s="49"/>
      <c r="U21" s="49"/>
      <c r="V21" s="49"/>
      <c r="W21" s="49"/>
      <c r="X21" s="49"/>
      <c r="Y21" s="49"/>
      <c r="Z21" s="49"/>
    </row>
    <row r="22" ht="14.25" customHeight="1">
      <c r="A22" s="49"/>
      <c r="B22" s="49"/>
      <c r="C22" s="49"/>
      <c r="D22" s="49"/>
      <c r="E22" s="49"/>
      <c r="F22" s="49"/>
      <c r="G22" s="49"/>
      <c r="H22" s="49"/>
      <c r="I22" s="49"/>
      <c r="J22" s="49"/>
      <c r="K22" s="49"/>
      <c r="L22" s="49"/>
      <c r="M22" s="49"/>
      <c r="N22" s="49"/>
      <c r="O22" s="49"/>
      <c r="P22" s="49"/>
      <c r="Q22" s="49"/>
      <c r="R22" s="49"/>
      <c r="S22" s="49"/>
      <c r="T22" s="49"/>
      <c r="U22" s="49"/>
      <c r="V22" s="49"/>
      <c r="W22" s="49"/>
      <c r="X22" s="49"/>
      <c r="Y22" s="49"/>
      <c r="Z22" s="49"/>
    </row>
    <row r="23" ht="14.25" customHeight="1">
      <c r="A23" s="49"/>
      <c r="B23" s="49"/>
      <c r="C23" s="49"/>
      <c r="D23" s="49"/>
      <c r="E23" s="49"/>
      <c r="F23" s="49"/>
      <c r="G23" s="49"/>
      <c r="H23" s="49"/>
      <c r="I23" s="49"/>
      <c r="J23" s="49"/>
      <c r="K23" s="49"/>
      <c r="L23" s="49"/>
      <c r="M23" s="49"/>
      <c r="N23" s="49"/>
      <c r="O23" s="49"/>
      <c r="P23" s="49"/>
      <c r="Q23" s="49"/>
      <c r="R23" s="49"/>
      <c r="S23" s="49"/>
      <c r="T23" s="49"/>
      <c r="U23" s="49"/>
      <c r="V23" s="49"/>
      <c r="W23" s="49"/>
      <c r="X23" s="49"/>
      <c r="Y23" s="49"/>
      <c r="Z23" s="49"/>
    </row>
    <row r="24" ht="14.25" customHeight="1">
      <c r="A24" s="49"/>
      <c r="B24" s="49"/>
      <c r="C24" s="49"/>
      <c r="D24" s="49"/>
      <c r="E24" s="49"/>
      <c r="F24" s="49"/>
      <c r="G24" s="49"/>
      <c r="H24" s="49"/>
      <c r="I24" s="49"/>
      <c r="J24" s="49"/>
      <c r="K24" s="49"/>
      <c r="L24" s="49"/>
      <c r="M24" s="49"/>
      <c r="N24" s="49"/>
      <c r="O24" s="49"/>
      <c r="P24" s="49"/>
      <c r="Q24" s="49"/>
      <c r="R24" s="49"/>
      <c r="S24" s="49"/>
      <c r="T24" s="49"/>
      <c r="U24" s="49"/>
      <c r="V24" s="49"/>
      <c r="W24" s="49"/>
      <c r="X24" s="49"/>
      <c r="Y24" s="49"/>
      <c r="Z24" s="49"/>
    </row>
    <row r="25" ht="14.25" customHeight="1">
      <c r="A25" s="49"/>
      <c r="B25" s="49"/>
      <c r="C25" s="49"/>
      <c r="D25" s="49"/>
      <c r="E25" s="49"/>
      <c r="F25" s="49"/>
      <c r="G25" s="49"/>
      <c r="H25" s="49"/>
      <c r="I25" s="49"/>
      <c r="J25" s="49"/>
      <c r="K25" s="49"/>
      <c r="L25" s="49"/>
      <c r="M25" s="49"/>
      <c r="N25" s="49"/>
      <c r="O25" s="49"/>
      <c r="P25" s="49"/>
      <c r="Q25" s="49"/>
      <c r="R25" s="49"/>
      <c r="S25" s="49"/>
      <c r="T25" s="49"/>
      <c r="U25" s="49"/>
      <c r="V25" s="49"/>
      <c r="W25" s="49"/>
      <c r="X25" s="49"/>
      <c r="Y25" s="49"/>
      <c r="Z25" s="49"/>
    </row>
    <row r="26" ht="14.25" customHeight="1">
      <c r="A26" s="49"/>
      <c r="B26" s="49"/>
      <c r="C26" s="49"/>
      <c r="D26" s="49"/>
      <c r="E26" s="49"/>
      <c r="F26" s="49"/>
      <c r="G26" s="49"/>
      <c r="H26" s="49"/>
      <c r="I26" s="49"/>
      <c r="J26" s="49"/>
      <c r="K26" s="49"/>
      <c r="L26" s="49"/>
      <c r="M26" s="49"/>
      <c r="N26" s="49"/>
      <c r="O26" s="49"/>
      <c r="P26" s="49"/>
      <c r="Q26" s="49"/>
      <c r="R26" s="49"/>
      <c r="S26" s="49"/>
      <c r="T26" s="49"/>
      <c r="U26" s="49"/>
      <c r="V26" s="49"/>
      <c r="W26" s="49"/>
      <c r="X26" s="49"/>
      <c r="Y26" s="49"/>
      <c r="Z26" s="49"/>
    </row>
    <row r="27" ht="14.25" customHeight="1">
      <c r="A27" s="49"/>
      <c r="B27" s="49"/>
      <c r="C27" s="49"/>
      <c r="D27" s="49"/>
      <c r="E27" s="49"/>
      <c r="F27" s="49"/>
      <c r="G27" s="49"/>
      <c r="H27" s="49"/>
      <c r="I27" s="49"/>
      <c r="J27" s="49"/>
      <c r="K27" s="49"/>
      <c r="L27" s="49"/>
      <c r="M27" s="49"/>
      <c r="N27" s="49"/>
      <c r="O27" s="49"/>
      <c r="P27" s="49"/>
      <c r="Q27" s="49"/>
      <c r="R27" s="49"/>
      <c r="S27" s="49"/>
      <c r="T27" s="49"/>
      <c r="U27" s="49"/>
      <c r="V27" s="49"/>
      <c r="W27" s="49"/>
      <c r="X27" s="49"/>
      <c r="Y27" s="49"/>
      <c r="Z27" s="49"/>
    </row>
    <row r="28" ht="14.25" customHeight="1">
      <c r="A28" s="49"/>
      <c r="B28" s="49"/>
      <c r="C28" s="49"/>
      <c r="D28" s="49"/>
      <c r="E28" s="49"/>
      <c r="F28" s="49"/>
      <c r="G28" s="49"/>
      <c r="H28" s="49"/>
      <c r="I28" s="49"/>
      <c r="J28" s="49"/>
      <c r="K28" s="49"/>
      <c r="L28" s="49"/>
      <c r="M28" s="49"/>
      <c r="N28" s="49"/>
      <c r="O28" s="49"/>
      <c r="P28" s="49"/>
      <c r="Q28" s="49"/>
      <c r="R28" s="49"/>
      <c r="S28" s="49"/>
      <c r="T28" s="49"/>
      <c r="U28" s="49"/>
      <c r="V28" s="49"/>
      <c r="W28" s="49"/>
      <c r="X28" s="49"/>
      <c r="Y28" s="49"/>
      <c r="Z28" s="49"/>
    </row>
    <row r="29" ht="14.25" customHeight="1">
      <c r="A29" s="49"/>
      <c r="B29" s="49"/>
      <c r="C29" s="49"/>
      <c r="D29" s="49"/>
      <c r="E29" s="49"/>
      <c r="F29" s="49"/>
      <c r="G29" s="49"/>
      <c r="H29" s="49"/>
      <c r="I29" s="49"/>
      <c r="J29" s="49"/>
      <c r="K29" s="49"/>
      <c r="L29" s="49"/>
      <c r="M29" s="49"/>
      <c r="N29" s="49"/>
      <c r="O29" s="49"/>
      <c r="P29" s="49"/>
      <c r="Q29" s="49"/>
      <c r="R29" s="49"/>
      <c r="S29" s="49"/>
      <c r="T29" s="49"/>
      <c r="U29" s="49"/>
      <c r="V29" s="49"/>
      <c r="W29" s="49"/>
      <c r="X29" s="49"/>
      <c r="Y29" s="49"/>
      <c r="Z29" s="49"/>
    </row>
    <row r="30" ht="14.25" customHeight="1">
      <c r="A30" s="49"/>
      <c r="B30" s="49"/>
      <c r="C30" s="49"/>
      <c r="D30" s="49"/>
      <c r="E30" s="49"/>
      <c r="F30" s="49"/>
      <c r="G30" s="49"/>
      <c r="H30" s="49"/>
      <c r="I30" s="49"/>
      <c r="J30" s="49"/>
      <c r="K30" s="49"/>
      <c r="L30" s="49"/>
      <c r="M30" s="49"/>
      <c r="N30" s="49"/>
      <c r="O30" s="49"/>
      <c r="P30" s="49"/>
      <c r="Q30" s="49"/>
      <c r="R30" s="49"/>
      <c r="S30" s="49"/>
      <c r="T30" s="49"/>
      <c r="U30" s="49"/>
      <c r="V30" s="49"/>
      <c r="W30" s="49"/>
      <c r="X30" s="49"/>
      <c r="Y30" s="49"/>
      <c r="Z30" s="49"/>
    </row>
    <row r="31" ht="14.25" customHeight="1">
      <c r="A31" s="49"/>
      <c r="B31" s="49"/>
      <c r="C31" s="49"/>
      <c r="D31" s="49"/>
      <c r="E31" s="49"/>
      <c r="F31" s="49"/>
      <c r="G31" s="49"/>
      <c r="H31" s="49"/>
      <c r="I31" s="49"/>
      <c r="J31" s="49"/>
      <c r="K31" s="49"/>
      <c r="L31" s="49"/>
      <c r="M31" s="49"/>
      <c r="N31" s="49"/>
      <c r="O31" s="49"/>
      <c r="P31" s="49"/>
      <c r="Q31" s="49"/>
      <c r="R31" s="49"/>
      <c r="S31" s="49"/>
      <c r="T31" s="49"/>
      <c r="U31" s="49"/>
      <c r="V31" s="49"/>
      <c r="W31" s="49"/>
      <c r="X31" s="49"/>
      <c r="Y31" s="49"/>
      <c r="Z31" s="49"/>
    </row>
    <row r="32" ht="14.25" customHeight="1">
      <c r="A32" s="49"/>
      <c r="B32" s="49"/>
      <c r="C32" s="49"/>
      <c r="D32" s="49"/>
      <c r="E32" s="49"/>
      <c r="F32" s="49"/>
      <c r="G32" s="49"/>
      <c r="H32" s="49"/>
      <c r="I32" s="49"/>
      <c r="J32" s="49"/>
      <c r="K32" s="49"/>
      <c r="L32" s="49"/>
      <c r="M32" s="49"/>
      <c r="N32" s="49"/>
      <c r="O32" s="49"/>
      <c r="P32" s="49"/>
      <c r="Q32" s="49"/>
      <c r="R32" s="49"/>
      <c r="S32" s="49"/>
      <c r="T32" s="49"/>
      <c r="U32" s="49"/>
      <c r="V32" s="49"/>
      <c r="W32" s="49"/>
      <c r="X32" s="49"/>
      <c r="Y32" s="49"/>
      <c r="Z32" s="49"/>
    </row>
    <row r="33" ht="14.25" customHeight="1">
      <c r="A33" s="49"/>
      <c r="B33" s="49"/>
      <c r="C33" s="49"/>
      <c r="D33" s="49"/>
      <c r="E33" s="49"/>
      <c r="F33" s="49"/>
      <c r="G33" s="49"/>
      <c r="H33" s="49"/>
      <c r="I33" s="49"/>
      <c r="J33" s="49"/>
      <c r="K33" s="49"/>
      <c r="L33" s="49"/>
      <c r="M33" s="49"/>
      <c r="N33" s="49"/>
      <c r="O33" s="49"/>
      <c r="P33" s="49"/>
      <c r="Q33" s="49"/>
      <c r="R33" s="49"/>
      <c r="S33" s="49"/>
      <c r="T33" s="49"/>
      <c r="U33" s="49"/>
      <c r="V33" s="49"/>
      <c r="W33" s="49"/>
      <c r="X33" s="49"/>
      <c r="Y33" s="49"/>
      <c r="Z33" s="49"/>
    </row>
    <row r="34" ht="14.25" customHeight="1">
      <c r="A34" s="49"/>
      <c r="B34" s="49"/>
      <c r="C34" s="49"/>
      <c r="D34" s="49"/>
      <c r="E34" s="49"/>
      <c r="F34" s="49"/>
      <c r="G34" s="49"/>
      <c r="H34" s="49"/>
      <c r="I34" s="49"/>
      <c r="J34" s="49"/>
      <c r="K34" s="49"/>
      <c r="L34" s="49"/>
      <c r="M34" s="49"/>
      <c r="N34" s="49"/>
      <c r="O34" s="49"/>
      <c r="P34" s="49"/>
      <c r="Q34" s="49"/>
      <c r="R34" s="49"/>
      <c r="S34" s="49"/>
      <c r="T34" s="49"/>
      <c r="U34" s="49"/>
      <c r="V34" s="49"/>
      <c r="W34" s="49"/>
      <c r="X34" s="49"/>
      <c r="Y34" s="49"/>
      <c r="Z34" s="49"/>
    </row>
    <row r="35" ht="14.25" customHeight="1">
      <c r="A35" s="49"/>
      <c r="B35" s="49"/>
      <c r="C35" s="49"/>
      <c r="D35" s="49"/>
      <c r="E35" s="49"/>
      <c r="F35" s="49"/>
      <c r="G35" s="49"/>
      <c r="H35" s="49"/>
      <c r="I35" s="49"/>
      <c r="J35" s="49"/>
      <c r="K35" s="49"/>
      <c r="L35" s="49"/>
      <c r="M35" s="49"/>
      <c r="N35" s="49"/>
      <c r="O35" s="49"/>
      <c r="P35" s="49"/>
      <c r="Q35" s="49"/>
      <c r="R35" s="49"/>
      <c r="S35" s="49"/>
      <c r="T35" s="49"/>
      <c r="U35" s="49"/>
      <c r="V35" s="49"/>
      <c r="W35" s="49"/>
      <c r="X35" s="49"/>
      <c r="Y35" s="49"/>
      <c r="Z35" s="49"/>
    </row>
    <row r="36" ht="14.25" customHeight="1">
      <c r="A36" s="49"/>
      <c r="B36" s="49"/>
      <c r="C36" s="49"/>
      <c r="D36" s="49"/>
      <c r="E36" s="49"/>
      <c r="F36" s="49"/>
      <c r="G36" s="49"/>
      <c r="H36" s="49"/>
      <c r="I36" s="49"/>
      <c r="J36" s="49"/>
      <c r="K36" s="49"/>
      <c r="L36" s="49"/>
      <c r="M36" s="49"/>
      <c r="N36" s="49"/>
      <c r="O36" s="49"/>
      <c r="P36" s="49"/>
      <c r="Q36" s="49"/>
      <c r="R36" s="49"/>
      <c r="S36" s="49"/>
      <c r="T36" s="49"/>
      <c r="U36" s="49"/>
      <c r="V36" s="49"/>
      <c r="W36" s="49"/>
      <c r="X36" s="49"/>
      <c r="Y36" s="49"/>
      <c r="Z36" s="49"/>
    </row>
    <row r="37" ht="14.25" customHeight="1">
      <c r="A37" s="49"/>
      <c r="B37" s="49"/>
      <c r="C37" s="49"/>
      <c r="D37" s="49"/>
      <c r="E37" s="49"/>
      <c r="F37" s="49"/>
      <c r="G37" s="49"/>
      <c r="H37" s="49"/>
      <c r="I37" s="49"/>
      <c r="J37" s="49"/>
      <c r="K37" s="49"/>
      <c r="L37" s="49"/>
      <c r="M37" s="49"/>
      <c r="N37" s="49"/>
      <c r="O37" s="49"/>
      <c r="P37" s="49"/>
      <c r="Q37" s="49"/>
      <c r="R37" s="49"/>
      <c r="S37" s="49"/>
      <c r="T37" s="49"/>
      <c r="U37" s="49"/>
      <c r="V37" s="49"/>
      <c r="W37" s="49"/>
      <c r="X37" s="49"/>
      <c r="Y37" s="49"/>
      <c r="Z37" s="49"/>
    </row>
    <row r="38" ht="14.25" customHeight="1">
      <c r="A38" s="49"/>
      <c r="B38" s="49"/>
      <c r="C38" s="49"/>
      <c r="D38" s="49"/>
      <c r="E38" s="49"/>
      <c r="F38" s="49"/>
      <c r="G38" s="49"/>
      <c r="H38" s="49"/>
      <c r="I38" s="49"/>
      <c r="J38" s="49"/>
      <c r="K38" s="49"/>
      <c r="L38" s="49"/>
      <c r="M38" s="49"/>
      <c r="N38" s="49"/>
      <c r="O38" s="49"/>
      <c r="P38" s="49"/>
      <c r="Q38" s="49"/>
      <c r="R38" s="49"/>
      <c r="S38" s="49"/>
      <c r="T38" s="49"/>
      <c r="U38" s="49"/>
      <c r="V38" s="49"/>
      <c r="W38" s="49"/>
      <c r="X38" s="49"/>
      <c r="Y38" s="49"/>
      <c r="Z38" s="49"/>
    </row>
    <row r="39" ht="14.25" customHeight="1">
      <c r="A39" s="49"/>
      <c r="B39" s="49"/>
      <c r="C39" s="49"/>
      <c r="D39" s="49"/>
      <c r="E39" s="49"/>
      <c r="F39" s="49"/>
      <c r="G39" s="49"/>
      <c r="H39" s="49"/>
      <c r="I39" s="49"/>
      <c r="J39" s="49"/>
      <c r="K39" s="49"/>
      <c r="L39" s="49"/>
      <c r="M39" s="49"/>
      <c r="N39" s="49"/>
      <c r="O39" s="49"/>
      <c r="P39" s="49"/>
      <c r="Q39" s="49"/>
      <c r="R39" s="49"/>
      <c r="S39" s="49"/>
      <c r="T39" s="49"/>
      <c r="U39" s="49"/>
      <c r="V39" s="49"/>
      <c r="W39" s="49"/>
      <c r="X39" s="49"/>
      <c r="Y39" s="49"/>
      <c r="Z39" s="49"/>
    </row>
    <row r="40" ht="14.25" customHeight="1">
      <c r="A40" s="49"/>
      <c r="B40" s="49"/>
      <c r="C40" s="49"/>
      <c r="D40" s="49"/>
      <c r="E40" s="49"/>
      <c r="F40" s="49"/>
      <c r="G40" s="49"/>
      <c r="H40" s="49"/>
      <c r="I40" s="49"/>
      <c r="J40" s="49"/>
      <c r="K40" s="49"/>
      <c r="L40" s="49"/>
      <c r="M40" s="49"/>
      <c r="N40" s="49"/>
      <c r="O40" s="49"/>
      <c r="P40" s="49"/>
      <c r="Q40" s="49"/>
      <c r="R40" s="49"/>
      <c r="S40" s="49"/>
      <c r="T40" s="49"/>
      <c r="U40" s="49"/>
      <c r="V40" s="49"/>
      <c r="W40" s="49"/>
      <c r="X40" s="49"/>
      <c r="Y40" s="49"/>
      <c r="Z40" s="49"/>
    </row>
    <row r="41" ht="14.25" customHeight="1">
      <c r="A41" s="49"/>
      <c r="B41" s="49"/>
      <c r="C41" s="49"/>
      <c r="D41" s="49"/>
      <c r="E41" s="49"/>
      <c r="F41" s="49"/>
      <c r="G41" s="49"/>
      <c r="H41" s="49"/>
      <c r="I41" s="49"/>
      <c r="J41" s="49"/>
      <c r="K41" s="49"/>
      <c r="L41" s="49"/>
      <c r="M41" s="49"/>
      <c r="N41" s="49"/>
      <c r="O41" s="49"/>
      <c r="P41" s="49"/>
      <c r="Q41" s="49"/>
      <c r="R41" s="49"/>
      <c r="S41" s="49"/>
      <c r="T41" s="49"/>
      <c r="U41" s="49"/>
      <c r="V41" s="49"/>
      <c r="W41" s="49"/>
      <c r="X41" s="49"/>
      <c r="Y41" s="49"/>
      <c r="Z41" s="49"/>
    </row>
    <row r="42" ht="14.25" customHeight="1">
      <c r="A42" s="49"/>
      <c r="B42" s="49"/>
      <c r="C42" s="49"/>
      <c r="D42" s="49"/>
      <c r="E42" s="49"/>
      <c r="F42" s="49"/>
      <c r="G42" s="49"/>
      <c r="H42" s="49"/>
      <c r="I42" s="49"/>
      <c r="J42" s="49"/>
      <c r="K42" s="49"/>
      <c r="L42" s="49"/>
      <c r="M42" s="49"/>
      <c r="N42" s="49"/>
      <c r="O42" s="49"/>
      <c r="P42" s="49"/>
      <c r="Q42" s="49"/>
      <c r="R42" s="49"/>
      <c r="S42" s="49"/>
      <c r="T42" s="49"/>
      <c r="U42" s="49"/>
      <c r="V42" s="49"/>
      <c r="W42" s="49"/>
      <c r="X42" s="49"/>
      <c r="Y42" s="49"/>
      <c r="Z42" s="49"/>
    </row>
    <row r="43" ht="14.25" customHeight="1">
      <c r="A43" s="49"/>
      <c r="B43" s="49"/>
      <c r="C43" s="49"/>
      <c r="D43" s="49"/>
      <c r="E43" s="49"/>
      <c r="F43" s="49"/>
      <c r="G43" s="49"/>
      <c r="H43" s="49"/>
      <c r="I43" s="49"/>
      <c r="J43" s="49"/>
      <c r="K43" s="49"/>
      <c r="L43" s="49"/>
      <c r="M43" s="49"/>
      <c r="N43" s="49"/>
      <c r="O43" s="49"/>
      <c r="P43" s="49"/>
      <c r="Q43" s="49"/>
      <c r="R43" s="49"/>
      <c r="S43" s="49"/>
      <c r="T43" s="49"/>
      <c r="U43" s="49"/>
      <c r="V43" s="49"/>
      <c r="W43" s="49"/>
      <c r="X43" s="49"/>
      <c r="Y43" s="49"/>
      <c r="Z43" s="49"/>
    </row>
    <row r="44" ht="14.25" customHeight="1">
      <c r="A44" s="49"/>
      <c r="B44" s="49"/>
      <c r="C44" s="49"/>
      <c r="D44" s="49"/>
      <c r="E44" s="49"/>
      <c r="F44" s="49"/>
      <c r="G44" s="49"/>
      <c r="H44" s="49"/>
      <c r="I44" s="49"/>
      <c r="J44" s="49"/>
      <c r="K44" s="49"/>
      <c r="L44" s="49"/>
      <c r="M44" s="49"/>
      <c r="N44" s="49"/>
      <c r="O44" s="49"/>
      <c r="P44" s="49"/>
      <c r="Q44" s="49"/>
      <c r="R44" s="49"/>
      <c r="S44" s="49"/>
      <c r="T44" s="49"/>
      <c r="U44" s="49"/>
      <c r="V44" s="49"/>
      <c r="W44" s="49"/>
      <c r="X44" s="49"/>
      <c r="Y44" s="49"/>
      <c r="Z44" s="49"/>
    </row>
    <row r="45" ht="14.25" customHeight="1">
      <c r="A45" s="49"/>
      <c r="B45" s="49"/>
      <c r="C45" s="49"/>
      <c r="D45" s="49"/>
      <c r="E45" s="49"/>
      <c r="F45" s="49"/>
      <c r="G45" s="49"/>
      <c r="H45" s="49"/>
      <c r="I45" s="49"/>
      <c r="J45" s="49"/>
      <c r="K45" s="49"/>
      <c r="L45" s="49"/>
      <c r="M45" s="49"/>
      <c r="N45" s="49"/>
      <c r="O45" s="49"/>
      <c r="P45" s="49"/>
      <c r="Q45" s="49"/>
      <c r="R45" s="49"/>
      <c r="S45" s="49"/>
      <c r="T45" s="49"/>
      <c r="U45" s="49"/>
      <c r="V45" s="49"/>
      <c r="W45" s="49"/>
      <c r="X45" s="49"/>
      <c r="Y45" s="49"/>
      <c r="Z45" s="49"/>
    </row>
    <row r="46" ht="14.25" customHeight="1">
      <c r="A46" s="49"/>
      <c r="B46" s="49"/>
      <c r="C46" s="49"/>
      <c r="D46" s="49"/>
      <c r="E46" s="49"/>
      <c r="F46" s="49"/>
      <c r="G46" s="49"/>
      <c r="H46" s="49"/>
      <c r="I46" s="49"/>
      <c r="J46" s="49"/>
      <c r="K46" s="49"/>
      <c r="L46" s="49"/>
      <c r="M46" s="49"/>
      <c r="N46" s="49"/>
      <c r="O46" s="49"/>
      <c r="P46" s="49"/>
      <c r="Q46" s="49"/>
      <c r="R46" s="49"/>
      <c r="S46" s="49"/>
      <c r="T46" s="49"/>
      <c r="U46" s="49"/>
      <c r="V46" s="49"/>
      <c r="W46" s="49"/>
      <c r="X46" s="49"/>
      <c r="Y46" s="49"/>
      <c r="Z46" s="49"/>
    </row>
    <row r="47" ht="14.25" customHeight="1">
      <c r="A47" s="49"/>
      <c r="B47" s="49"/>
      <c r="C47" s="49"/>
      <c r="D47" s="49"/>
      <c r="E47" s="49"/>
      <c r="F47" s="49"/>
      <c r="G47" s="49"/>
      <c r="H47" s="49"/>
      <c r="I47" s="49"/>
      <c r="J47" s="49"/>
      <c r="K47" s="49"/>
      <c r="L47" s="49"/>
      <c r="M47" s="49"/>
      <c r="N47" s="49"/>
      <c r="O47" s="49"/>
      <c r="P47" s="49"/>
      <c r="Q47" s="49"/>
      <c r="R47" s="49"/>
      <c r="S47" s="49"/>
      <c r="T47" s="49"/>
      <c r="U47" s="49"/>
      <c r="V47" s="49"/>
      <c r="W47" s="49"/>
      <c r="X47" s="49"/>
      <c r="Y47" s="49"/>
      <c r="Z47" s="49"/>
    </row>
    <row r="48" ht="14.25" customHeight="1">
      <c r="A48" s="49"/>
      <c r="B48" s="49"/>
      <c r="C48" s="49"/>
      <c r="D48" s="49"/>
      <c r="E48" s="49"/>
      <c r="F48" s="49"/>
      <c r="G48" s="49"/>
      <c r="H48" s="49"/>
      <c r="I48" s="49"/>
      <c r="J48" s="49"/>
      <c r="K48" s="49"/>
      <c r="L48" s="49"/>
      <c r="M48" s="49"/>
      <c r="N48" s="49"/>
      <c r="O48" s="49"/>
      <c r="P48" s="49"/>
      <c r="Q48" s="49"/>
      <c r="R48" s="49"/>
      <c r="S48" s="49"/>
      <c r="T48" s="49"/>
      <c r="U48" s="49"/>
      <c r="V48" s="49"/>
      <c r="W48" s="49"/>
      <c r="X48" s="49"/>
      <c r="Y48" s="49"/>
      <c r="Z48" s="49"/>
    </row>
    <row r="49" ht="14.25" customHeight="1">
      <c r="A49" s="49"/>
      <c r="B49" s="49"/>
      <c r="C49" s="49"/>
      <c r="D49" s="49"/>
      <c r="E49" s="49"/>
      <c r="F49" s="49"/>
      <c r="G49" s="49"/>
      <c r="H49" s="49"/>
      <c r="I49" s="49"/>
      <c r="J49" s="49"/>
      <c r="K49" s="49"/>
      <c r="L49" s="49"/>
      <c r="M49" s="49"/>
      <c r="N49" s="49"/>
      <c r="O49" s="49"/>
      <c r="P49" s="49"/>
      <c r="Q49" s="49"/>
      <c r="R49" s="49"/>
      <c r="S49" s="49"/>
      <c r="T49" s="49"/>
      <c r="U49" s="49"/>
      <c r="V49" s="49"/>
      <c r="W49" s="49"/>
      <c r="X49" s="49"/>
      <c r="Y49" s="49"/>
      <c r="Z49" s="49"/>
    </row>
    <row r="50" ht="14.25" customHeight="1">
      <c r="A50" s="49"/>
      <c r="B50" s="49"/>
      <c r="C50" s="49"/>
      <c r="D50" s="49"/>
      <c r="E50" s="49"/>
      <c r="F50" s="49"/>
      <c r="G50" s="49"/>
      <c r="H50" s="49"/>
      <c r="I50" s="49"/>
      <c r="J50" s="49"/>
      <c r="K50" s="49"/>
      <c r="L50" s="49"/>
      <c r="M50" s="49"/>
      <c r="N50" s="49"/>
      <c r="O50" s="49"/>
      <c r="P50" s="49"/>
      <c r="Q50" s="49"/>
      <c r="R50" s="49"/>
      <c r="S50" s="49"/>
      <c r="T50" s="49"/>
      <c r="U50" s="49"/>
      <c r="V50" s="49"/>
      <c r="W50" s="49"/>
      <c r="X50" s="49"/>
      <c r="Y50" s="49"/>
      <c r="Z50" s="49"/>
    </row>
    <row r="51" ht="14.25" customHeight="1">
      <c r="A51" s="49"/>
      <c r="B51" s="49"/>
      <c r="C51" s="49"/>
      <c r="D51" s="49"/>
      <c r="E51" s="49"/>
      <c r="F51" s="49"/>
      <c r="G51" s="49"/>
      <c r="H51" s="49"/>
      <c r="I51" s="49"/>
      <c r="J51" s="49"/>
      <c r="K51" s="49"/>
      <c r="L51" s="49"/>
      <c r="M51" s="49"/>
      <c r="N51" s="49"/>
      <c r="O51" s="49"/>
      <c r="P51" s="49"/>
      <c r="Q51" s="49"/>
      <c r="R51" s="49"/>
      <c r="S51" s="49"/>
      <c r="T51" s="49"/>
      <c r="U51" s="49"/>
      <c r="V51" s="49"/>
      <c r="W51" s="49"/>
      <c r="X51" s="49"/>
      <c r="Y51" s="49"/>
      <c r="Z51" s="49"/>
    </row>
    <row r="52" ht="14.25" customHeight="1">
      <c r="A52" s="49"/>
      <c r="B52" s="49"/>
      <c r="C52" s="49"/>
      <c r="D52" s="49"/>
      <c r="E52" s="49"/>
      <c r="F52" s="49"/>
      <c r="G52" s="49"/>
      <c r="H52" s="49"/>
      <c r="I52" s="49"/>
      <c r="J52" s="49"/>
      <c r="K52" s="49"/>
      <c r="L52" s="49"/>
      <c r="M52" s="49"/>
      <c r="N52" s="49"/>
      <c r="O52" s="49"/>
      <c r="P52" s="49"/>
      <c r="Q52" s="49"/>
      <c r="R52" s="49"/>
      <c r="S52" s="49"/>
      <c r="T52" s="49"/>
      <c r="U52" s="49"/>
      <c r="V52" s="49"/>
      <c r="W52" s="49"/>
      <c r="X52" s="49"/>
      <c r="Y52" s="49"/>
      <c r="Z52" s="49"/>
    </row>
    <row r="53" ht="14.25" customHeight="1">
      <c r="A53" s="49"/>
      <c r="B53" s="49"/>
      <c r="C53" s="49"/>
      <c r="D53" s="49"/>
      <c r="E53" s="49"/>
      <c r="F53" s="49"/>
      <c r="G53" s="49"/>
      <c r="H53" s="49"/>
      <c r="I53" s="49"/>
      <c r="J53" s="49"/>
      <c r="K53" s="49"/>
      <c r="L53" s="49"/>
      <c r="M53" s="49"/>
      <c r="N53" s="49"/>
      <c r="O53" s="49"/>
      <c r="P53" s="49"/>
      <c r="Q53" s="49"/>
      <c r="R53" s="49"/>
      <c r="S53" s="49"/>
      <c r="T53" s="49"/>
      <c r="U53" s="49"/>
      <c r="V53" s="49"/>
      <c r="W53" s="49"/>
      <c r="X53" s="49"/>
      <c r="Y53" s="49"/>
      <c r="Z53" s="49"/>
    </row>
    <row r="54" ht="14.25" customHeight="1">
      <c r="A54" s="49"/>
      <c r="B54" s="49"/>
      <c r="C54" s="49"/>
      <c r="D54" s="49"/>
      <c r="E54" s="49"/>
      <c r="F54" s="49"/>
      <c r="G54" s="49"/>
      <c r="H54" s="49"/>
      <c r="I54" s="49"/>
      <c r="J54" s="49"/>
      <c r="K54" s="49"/>
      <c r="L54" s="49"/>
      <c r="M54" s="49"/>
      <c r="N54" s="49"/>
      <c r="O54" s="49"/>
      <c r="P54" s="49"/>
      <c r="Q54" s="49"/>
      <c r="R54" s="49"/>
      <c r="S54" s="49"/>
      <c r="T54" s="49"/>
      <c r="U54" s="49"/>
      <c r="V54" s="49"/>
      <c r="W54" s="49"/>
      <c r="X54" s="49"/>
      <c r="Y54" s="49"/>
      <c r="Z54" s="49"/>
    </row>
    <row r="55" ht="14.25" customHeight="1">
      <c r="A55" s="49"/>
      <c r="B55" s="49"/>
      <c r="C55" s="49"/>
      <c r="D55" s="49"/>
      <c r="E55" s="49"/>
      <c r="F55" s="49"/>
      <c r="G55" s="49"/>
      <c r="H55" s="49"/>
      <c r="I55" s="49"/>
      <c r="J55" s="49"/>
      <c r="K55" s="49"/>
      <c r="L55" s="49"/>
      <c r="M55" s="49"/>
      <c r="N55" s="49"/>
      <c r="O55" s="49"/>
      <c r="P55" s="49"/>
      <c r="Q55" s="49"/>
      <c r="R55" s="49"/>
      <c r="S55" s="49"/>
      <c r="T55" s="49"/>
      <c r="U55" s="49"/>
      <c r="V55" s="49"/>
      <c r="W55" s="49"/>
      <c r="X55" s="49"/>
      <c r="Y55" s="49"/>
      <c r="Z55" s="49"/>
    </row>
    <row r="56" ht="14.25" customHeight="1">
      <c r="A56" s="49"/>
      <c r="B56" s="49"/>
      <c r="C56" s="49"/>
      <c r="D56" s="49"/>
      <c r="E56" s="49"/>
      <c r="F56" s="49"/>
      <c r="G56" s="49"/>
      <c r="H56" s="49"/>
      <c r="I56" s="49"/>
      <c r="J56" s="49"/>
      <c r="K56" s="49"/>
      <c r="L56" s="49"/>
      <c r="M56" s="49"/>
      <c r="N56" s="49"/>
      <c r="O56" s="49"/>
      <c r="P56" s="49"/>
      <c r="Q56" s="49"/>
      <c r="R56" s="49"/>
      <c r="S56" s="49"/>
      <c r="T56" s="49"/>
      <c r="U56" s="49"/>
      <c r="V56" s="49"/>
      <c r="W56" s="49"/>
      <c r="X56" s="49"/>
      <c r="Y56" s="49"/>
      <c r="Z56" s="49"/>
    </row>
    <row r="57" ht="14.25" customHeight="1">
      <c r="A57" s="49"/>
      <c r="B57" s="49"/>
      <c r="C57" s="49"/>
      <c r="D57" s="49"/>
      <c r="E57" s="49"/>
      <c r="F57" s="49"/>
      <c r="G57" s="49"/>
      <c r="H57" s="49"/>
      <c r="I57" s="49"/>
      <c r="J57" s="49"/>
      <c r="K57" s="49"/>
      <c r="L57" s="49"/>
      <c r="M57" s="49"/>
      <c r="N57" s="49"/>
      <c r="O57" s="49"/>
      <c r="P57" s="49"/>
      <c r="Q57" s="49"/>
      <c r="R57" s="49"/>
      <c r="S57" s="49"/>
      <c r="T57" s="49"/>
      <c r="U57" s="49"/>
      <c r="V57" s="49"/>
      <c r="W57" s="49"/>
      <c r="X57" s="49"/>
      <c r="Y57" s="49"/>
      <c r="Z57" s="49"/>
    </row>
    <row r="58" ht="14.25" customHeight="1">
      <c r="A58" s="49"/>
      <c r="B58" s="49"/>
      <c r="C58" s="49"/>
      <c r="D58" s="49"/>
      <c r="E58" s="49"/>
      <c r="F58" s="49"/>
      <c r="G58" s="49"/>
      <c r="H58" s="49"/>
      <c r="I58" s="49"/>
      <c r="J58" s="49"/>
      <c r="K58" s="49"/>
      <c r="L58" s="49"/>
      <c r="M58" s="49"/>
      <c r="N58" s="49"/>
      <c r="O58" s="49"/>
      <c r="P58" s="49"/>
      <c r="Q58" s="49"/>
      <c r="R58" s="49"/>
      <c r="S58" s="49"/>
      <c r="T58" s="49"/>
      <c r="U58" s="49"/>
      <c r="V58" s="49"/>
      <c r="W58" s="49"/>
      <c r="X58" s="49"/>
      <c r="Y58" s="49"/>
      <c r="Z58" s="49"/>
    </row>
    <row r="59" ht="14.25" customHeight="1">
      <c r="A59" s="49"/>
      <c r="B59" s="49"/>
      <c r="C59" s="49"/>
      <c r="D59" s="49"/>
      <c r="E59" s="49"/>
      <c r="F59" s="49"/>
      <c r="G59" s="49"/>
      <c r="H59" s="49"/>
      <c r="I59" s="49"/>
      <c r="J59" s="49"/>
      <c r="K59" s="49"/>
      <c r="L59" s="49"/>
      <c r="M59" s="49"/>
      <c r="N59" s="49"/>
      <c r="O59" s="49"/>
      <c r="P59" s="49"/>
      <c r="Q59" s="49"/>
      <c r="R59" s="49"/>
      <c r="S59" s="49"/>
      <c r="T59" s="49"/>
      <c r="U59" s="49"/>
      <c r="V59" s="49"/>
      <c r="W59" s="49"/>
      <c r="X59" s="49"/>
      <c r="Y59" s="49"/>
      <c r="Z59" s="49"/>
    </row>
    <row r="60" ht="14.25" customHeight="1">
      <c r="A60" s="49"/>
      <c r="B60" s="49"/>
      <c r="C60" s="49"/>
      <c r="D60" s="49"/>
      <c r="E60" s="49"/>
      <c r="F60" s="49"/>
      <c r="G60" s="49"/>
      <c r="H60" s="49"/>
      <c r="I60" s="49"/>
      <c r="J60" s="49"/>
      <c r="K60" s="49"/>
      <c r="L60" s="49"/>
      <c r="M60" s="49"/>
      <c r="N60" s="49"/>
      <c r="O60" s="49"/>
      <c r="P60" s="49"/>
      <c r="Q60" s="49"/>
      <c r="R60" s="49"/>
      <c r="S60" s="49"/>
      <c r="T60" s="49"/>
      <c r="U60" s="49"/>
      <c r="V60" s="49"/>
      <c r="W60" s="49"/>
      <c r="X60" s="49"/>
      <c r="Y60" s="49"/>
      <c r="Z60" s="49"/>
    </row>
    <row r="61" ht="14.25" customHeight="1">
      <c r="A61" s="49"/>
      <c r="B61" s="49"/>
      <c r="C61" s="49"/>
      <c r="D61" s="49"/>
      <c r="E61" s="49"/>
      <c r="F61" s="49"/>
      <c r="G61" s="49"/>
      <c r="H61" s="49"/>
      <c r="I61" s="49"/>
      <c r="J61" s="49"/>
      <c r="K61" s="49"/>
      <c r="L61" s="49"/>
      <c r="M61" s="49"/>
      <c r="N61" s="49"/>
      <c r="O61" s="49"/>
      <c r="P61" s="49"/>
      <c r="Q61" s="49"/>
      <c r="R61" s="49"/>
      <c r="S61" s="49"/>
      <c r="T61" s="49"/>
      <c r="U61" s="49"/>
      <c r="V61" s="49"/>
      <c r="W61" s="49"/>
      <c r="X61" s="49"/>
      <c r="Y61" s="49"/>
      <c r="Z61" s="49"/>
    </row>
    <row r="62" ht="14.25" customHeight="1">
      <c r="A62" s="49"/>
      <c r="B62" s="49"/>
      <c r="C62" s="49"/>
      <c r="D62" s="49"/>
      <c r="E62" s="49"/>
      <c r="F62" s="49"/>
      <c r="G62" s="49"/>
      <c r="H62" s="49"/>
      <c r="I62" s="49"/>
      <c r="J62" s="49"/>
      <c r="K62" s="49"/>
      <c r="L62" s="49"/>
      <c r="M62" s="49"/>
      <c r="N62" s="49"/>
      <c r="O62" s="49"/>
      <c r="P62" s="49"/>
      <c r="Q62" s="49"/>
      <c r="R62" s="49"/>
      <c r="S62" s="49"/>
      <c r="T62" s="49"/>
      <c r="U62" s="49"/>
      <c r="V62" s="49"/>
      <c r="W62" s="49"/>
      <c r="X62" s="49"/>
      <c r="Y62" s="49"/>
      <c r="Z62" s="49"/>
    </row>
    <row r="63" ht="14.25" customHeight="1">
      <c r="A63" s="49"/>
      <c r="B63" s="49"/>
      <c r="C63" s="49"/>
      <c r="D63" s="49"/>
      <c r="E63" s="49"/>
      <c r="F63" s="49"/>
      <c r="G63" s="49"/>
      <c r="H63" s="49"/>
      <c r="I63" s="49"/>
      <c r="J63" s="49"/>
      <c r="K63" s="49"/>
      <c r="L63" s="49"/>
      <c r="M63" s="49"/>
      <c r="N63" s="49"/>
      <c r="O63" s="49"/>
      <c r="P63" s="49"/>
      <c r="Q63" s="49"/>
      <c r="R63" s="49"/>
      <c r="S63" s="49"/>
      <c r="T63" s="49"/>
      <c r="U63" s="49"/>
      <c r="V63" s="49"/>
      <c r="W63" s="49"/>
      <c r="X63" s="49"/>
      <c r="Y63" s="49"/>
      <c r="Z63" s="49"/>
    </row>
    <row r="64" ht="14.25" customHeight="1">
      <c r="A64" s="49"/>
      <c r="B64" s="49"/>
      <c r="C64" s="49"/>
      <c r="D64" s="49"/>
      <c r="E64" s="49"/>
      <c r="F64" s="49"/>
      <c r="G64" s="49"/>
      <c r="H64" s="49"/>
      <c r="I64" s="49"/>
      <c r="J64" s="49"/>
      <c r="K64" s="49"/>
      <c r="L64" s="49"/>
      <c r="M64" s="49"/>
      <c r="N64" s="49"/>
      <c r="O64" s="49"/>
      <c r="P64" s="49"/>
      <c r="Q64" s="49"/>
      <c r="R64" s="49"/>
      <c r="S64" s="49"/>
      <c r="T64" s="49"/>
      <c r="U64" s="49"/>
      <c r="V64" s="49"/>
      <c r="W64" s="49"/>
      <c r="X64" s="49"/>
      <c r="Y64" s="49"/>
      <c r="Z64" s="49"/>
    </row>
    <row r="65" ht="14.25" customHeight="1">
      <c r="A65" s="49"/>
      <c r="B65" s="49"/>
      <c r="C65" s="49"/>
      <c r="D65" s="49"/>
      <c r="E65" s="49"/>
      <c r="F65" s="49"/>
      <c r="G65" s="49"/>
      <c r="H65" s="49"/>
      <c r="I65" s="49"/>
      <c r="J65" s="49"/>
      <c r="K65" s="49"/>
      <c r="L65" s="49"/>
      <c r="M65" s="49"/>
      <c r="N65" s="49"/>
      <c r="O65" s="49"/>
      <c r="P65" s="49"/>
      <c r="Q65" s="49"/>
      <c r="R65" s="49"/>
      <c r="S65" s="49"/>
      <c r="T65" s="49"/>
      <c r="U65" s="49"/>
      <c r="V65" s="49"/>
      <c r="W65" s="49"/>
      <c r="X65" s="49"/>
      <c r="Y65" s="49"/>
      <c r="Z65" s="49"/>
    </row>
    <row r="66" ht="14.25" customHeight="1">
      <c r="A66" s="49"/>
      <c r="B66" s="49"/>
      <c r="C66" s="49"/>
      <c r="D66" s="49"/>
      <c r="E66" s="49"/>
      <c r="F66" s="49"/>
      <c r="G66" s="49"/>
      <c r="H66" s="49"/>
      <c r="I66" s="49"/>
      <c r="J66" s="49"/>
      <c r="K66" s="49"/>
      <c r="L66" s="49"/>
      <c r="M66" s="49"/>
      <c r="N66" s="49"/>
      <c r="O66" s="49"/>
      <c r="P66" s="49"/>
      <c r="Q66" s="49"/>
      <c r="R66" s="49"/>
      <c r="S66" s="49"/>
      <c r="T66" s="49"/>
      <c r="U66" s="49"/>
      <c r="V66" s="49"/>
      <c r="W66" s="49"/>
      <c r="X66" s="49"/>
      <c r="Y66" s="49"/>
      <c r="Z66" s="49"/>
    </row>
    <row r="67" ht="14.25" customHeight="1">
      <c r="A67" s="49"/>
      <c r="B67" s="49"/>
      <c r="C67" s="49"/>
      <c r="D67" s="49"/>
      <c r="E67" s="49"/>
      <c r="F67" s="49"/>
      <c r="G67" s="49"/>
      <c r="H67" s="49"/>
      <c r="I67" s="49"/>
      <c r="J67" s="49"/>
      <c r="K67" s="49"/>
      <c r="L67" s="49"/>
      <c r="M67" s="49"/>
      <c r="N67" s="49"/>
      <c r="O67" s="49"/>
      <c r="P67" s="49"/>
      <c r="Q67" s="49"/>
      <c r="R67" s="49"/>
      <c r="S67" s="49"/>
      <c r="T67" s="49"/>
      <c r="U67" s="49"/>
      <c r="V67" s="49"/>
      <c r="W67" s="49"/>
      <c r="X67" s="49"/>
      <c r="Y67" s="49"/>
      <c r="Z67" s="49"/>
    </row>
    <row r="68" ht="14.25" customHeight="1">
      <c r="A68" s="49"/>
      <c r="B68" s="49"/>
      <c r="C68" s="49"/>
      <c r="D68" s="49"/>
      <c r="E68" s="49"/>
      <c r="F68" s="49"/>
      <c r="G68" s="49"/>
      <c r="H68" s="49"/>
      <c r="I68" s="49"/>
      <c r="J68" s="49"/>
      <c r="K68" s="49"/>
      <c r="L68" s="49"/>
      <c r="M68" s="49"/>
      <c r="N68" s="49"/>
      <c r="O68" s="49"/>
      <c r="P68" s="49"/>
      <c r="Q68" s="49"/>
      <c r="R68" s="49"/>
      <c r="S68" s="49"/>
      <c r="T68" s="49"/>
      <c r="U68" s="49"/>
      <c r="V68" s="49"/>
      <c r="W68" s="49"/>
      <c r="X68" s="49"/>
      <c r="Y68" s="49"/>
      <c r="Z68" s="49"/>
    </row>
    <row r="69" ht="14.25" customHeight="1">
      <c r="A69" s="49"/>
      <c r="B69" s="49"/>
      <c r="C69" s="49"/>
      <c r="D69" s="49"/>
      <c r="E69" s="49"/>
      <c r="F69" s="49"/>
      <c r="G69" s="49"/>
      <c r="H69" s="49"/>
      <c r="I69" s="49"/>
      <c r="J69" s="49"/>
      <c r="K69" s="49"/>
      <c r="L69" s="49"/>
      <c r="M69" s="49"/>
      <c r="N69" s="49"/>
      <c r="O69" s="49"/>
      <c r="P69" s="49"/>
      <c r="Q69" s="49"/>
      <c r="R69" s="49"/>
      <c r="S69" s="49"/>
      <c r="T69" s="49"/>
      <c r="U69" s="49"/>
      <c r="V69" s="49"/>
      <c r="W69" s="49"/>
      <c r="X69" s="49"/>
      <c r="Y69" s="49"/>
      <c r="Z69" s="49"/>
    </row>
    <row r="70" ht="14.25" customHeight="1">
      <c r="A70" s="49"/>
      <c r="B70" s="49"/>
      <c r="C70" s="49"/>
      <c r="D70" s="49"/>
      <c r="E70" s="49"/>
      <c r="F70" s="49"/>
      <c r="G70" s="49"/>
      <c r="H70" s="49"/>
      <c r="I70" s="49"/>
      <c r="J70" s="49"/>
      <c r="K70" s="49"/>
      <c r="L70" s="49"/>
      <c r="M70" s="49"/>
      <c r="N70" s="49"/>
      <c r="O70" s="49"/>
      <c r="P70" s="49"/>
      <c r="Q70" s="49"/>
      <c r="R70" s="49"/>
      <c r="S70" s="49"/>
      <c r="T70" s="49"/>
      <c r="U70" s="49"/>
      <c r="V70" s="49"/>
      <c r="W70" s="49"/>
      <c r="X70" s="49"/>
      <c r="Y70" s="49"/>
      <c r="Z70" s="49"/>
    </row>
    <row r="71" ht="14.25" customHeight="1">
      <c r="A71" s="49"/>
      <c r="B71" s="49"/>
      <c r="C71" s="49"/>
      <c r="D71" s="49"/>
      <c r="E71" s="49"/>
      <c r="F71" s="49"/>
      <c r="G71" s="49"/>
      <c r="H71" s="49"/>
      <c r="I71" s="49"/>
      <c r="J71" s="49"/>
      <c r="K71" s="49"/>
      <c r="L71" s="49"/>
      <c r="M71" s="49"/>
      <c r="N71" s="49"/>
      <c r="O71" s="49"/>
      <c r="P71" s="49"/>
      <c r="Q71" s="49"/>
      <c r="R71" s="49"/>
      <c r="S71" s="49"/>
      <c r="T71" s="49"/>
      <c r="U71" s="49"/>
      <c r="V71" s="49"/>
      <c r="W71" s="49"/>
      <c r="X71" s="49"/>
      <c r="Y71" s="49"/>
      <c r="Z71" s="49"/>
    </row>
    <row r="72" ht="14.25" customHeight="1">
      <c r="A72" s="49"/>
      <c r="B72" s="49"/>
      <c r="C72" s="49"/>
      <c r="D72" s="49"/>
      <c r="E72" s="49"/>
      <c r="F72" s="49"/>
      <c r="G72" s="49"/>
      <c r="H72" s="49"/>
      <c r="I72" s="49"/>
      <c r="J72" s="49"/>
      <c r="K72" s="49"/>
      <c r="L72" s="49"/>
      <c r="M72" s="49"/>
      <c r="N72" s="49"/>
      <c r="O72" s="49"/>
      <c r="P72" s="49"/>
      <c r="Q72" s="49"/>
      <c r="R72" s="49"/>
      <c r="S72" s="49"/>
      <c r="T72" s="49"/>
      <c r="U72" s="49"/>
      <c r="V72" s="49"/>
      <c r="W72" s="49"/>
      <c r="X72" s="49"/>
      <c r="Y72" s="49"/>
      <c r="Z72" s="49"/>
    </row>
    <row r="73" ht="14.25" customHeight="1">
      <c r="A73" s="49"/>
      <c r="B73" s="49"/>
      <c r="C73" s="49"/>
      <c r="D73" s="49"/>
      <c r="E73" s="49"/>
      <c r="F73" s="49"/>
      <c r="G73" s="49"/>
      <c r="H73" s="49"/>
      <c r="I73" s="49"/>
      <c r="J73" s="49"/>
      <c r="K73" s="49"/>
      <c r="L73" s="49"/>
      <c r="M73" s="49"/>
      <c r="N73" s="49"/>
      <c r="O73" s="49"/>
      <c r="P73" s="49"/>
      <c r="Q73" s="49"/>
      <c r="R73" s="49"/>
      <c r="S73" s="49"/>
      <c r="T73" s="49"/>
      <c r="U73" s="49"/>
      <c r="V73" s="49"/>
      <c r="W73" s="49"/>
      <c r="X73" s="49"/>
      <c r="Y73" s="49"/>
      <c r="Z73" s="49"/>
    </row>
    <row r="74" ht="14.25" customHeight="1">
      <c r="A74" s="49"/>
      <c r="B74" s="49"/>
      <c r="C74" s="49"/>
      <c r="D74" s="49"/>
      <c r="E74" s="49"/>
      <c r="F74" s="49"/>
      <c r="G74" s="49"/>
      <c r="H74" s="49"/>
      <c r="I74" s="49"/>
      <c r="J74" s="49"/>
      <c r="K74" s="49"/>
      <c r="L74" s="49"/>
      <c r="M74" s="49"/>
      <c r="N74" s="49"/>
      <c r="O74" s="49"/>
      <c r="P74" s="49"/>
      <c r="Q74" s="49"/>
      <c r="R74" s="49"/>
      <c r="S74" s="49"/>
      <c r="T74" s="49"/>
      <c r="U74" s="49"/>
      <c r="V74" s="49"/>
      <c r="W74" s="49"/>
      <c r="X74" s="49"/>
      <c r="Y74" s="49"/>
      <c r="Z74" s="49"/>
    </row>
    <row r="75" ht="14.25" customHeight="1">
      <c r="A75" s="49"/>
      <c r="B75" s="49"/>
      <c r="C75" s="49"/>
      <c r="D75" s="49"/>
      <c r="E75" s="49"/>
      <c r="F75" s="49"/>
      <c r="G75" s="49"/>
      <c r="H75" s="49"/>
      <c r="I75" s="49"/>
      <c r="J75" s="49"/>
      <c r="K75" s="49"/>
      <c r="L75" s="49"/>
      <c r="M75" s="49"/>
      <c r="N75" s="49"/>
      <c r="O75" s="49"/>
      <c r="P75" s="49"/>
      <c r="Q75" s="49"/>
      <c r="R75" s="49"/>
      <c r="S75" s="49"/>
      <c r="T75" s="49"/>
      <c r="U75" s="49"/>
      <c r="V75" s="49"/>
      <c r="W75" s="49"/>
      <c r="X75" s="49"/>
      <c r="Y75" s="49"/>
      <c r="Z75" s="49"/>
    </row>
    <row r="76" ht="14.25" customHeight="1">
      <c r="A76" s="49"/>
      <c r="B76" s="49"/>
      <c r="C76" s="49"/>
      <c r="D76" s="49"/>
      <c r="E76" s="49"/>
      <c r="F76" s="49"/>
      <c r="G76" s="49"/>
      <c r="H76" s="49"/>
      <c r="I76" s="49"/>
      <c r="J76" s="49"/>
      <c r="K76" s="49"/>
      <c r="L76" s="49"/>
      <c r="M76" s="49"/>
      <c r="N76" s="49"/>
      <c r="O76" s="49"/>
      <c r="P76" s="49"/>
      <c r="Q76" s="49"/>
      <c r="R76" s="49"/>
      <c r="S76" s="49"/>
      <c r="T76" s="49"/>
      <c r="U76" s="49"/>
      <c r="V76" s="49"/>
      <c r="W76" s="49"/>
      <c r="X76" s="49"/>
      <c r="Y76" s="49"/>
      <c r="Z76" s="49"/>
    </row>
    <row r="77" ht="14.25" customHeight="1">
      <c r="A77" s="49"/>
      <c r="B77" s="49"/>
      <c r="C77" s="49"/>
      <c r="D77" s="49"/>
      <c r="E77" s="49"/>
      <c r="F77" s="49"/>
      <c r="G77" s="49"/>
      <c r="H77" s="49"/>
      <c r="I77" s="49"/>
      <c r="J77" s="49"/>
      <c r="K77" s="49"/>
      <c r="L77" s="49"/>
      <c r="M77" s="49"/>
      <c r="N77" s="49"/>
      <c r="O77" s="49"/>
      <c r="P77" s="49"/>
      <c r="Q77" s="49"/>
      <c r="R77" s="49"/>
      <c r="S77" s="49"/>
      <c r="T77" s="49"/>
      <c r="U77" s="49"/>
      <c r="V77" s="49"/>
      <c r="W77" s="49"/>
      <c r="X77" s="49"/>
      <c r="Y77" s="49"/>
      <c r="Z77" s="49"/>
    </row>
    <row r="78" ht="14.25" customHeight="1">
      <c r="A78" s="49"/>
      <c r="B78" s="49"/>
      <c r="C78" s="49"/>
      <c r="D78" s="49"/>
      <c r="E78" s="49"/>
      <c r="F78" s="49"/>
      <c r="G78" s="49"/>
      <c r="H78" s="49"/>
      <c r="I78" s="49"/>
      <c r="J78" s="49"/>
      <c r="K78" s="49"/>
      <c r="L78" s="49"/>
      <c r="M78" s="49"/>
      <c r="N78" s="49"/>
      <c r="O78" s="49"/>
      <c r="P78" s="49"/>
      <c r="Q78" s="49"/>
      <c r="R78" s="49"/>
      <c r="S78" s="49"/>
      <c r="T78" s="49"/>
      <c r="U78" s="49"/>
      <c r="V78" s="49"/>
      <c r="W78" s="49"/>
      <c r="X78" s="49"/>
      <c r="Y78" s="49"/>
      <c r="Z78" s="49"/>
    </row>
    <row r="79" ht="14.25" customHeight="1">
      <c r="A79" s="49"/>
      <c r="B79" s="49"/>
      <c r="C79" s="49"/>
      <c r="D79" s="49"/>
      <c r="E79" s="49"/>
      <c r="F79" s="49"/>
      <c r="G79" s="49"/>
      <c r="H79" s="49"/>
      <c r="I79" s="49"/>
      <c r="J79" s="49"/>
      <c r="K79" s="49"/>
      <c r="L79" s="49"/>
      <c r="M79" s="49"/>
      <c r="N79" s="49"/>
      <c r="O79" s="49"/>
      <c r="P79" s="49"/>
      <c r="Q79" s="49"/>
      <c r="R79" s="49"/>
      <c r="S79" s="49"/>
      <c r="T79" s="49"/>
      <c r="U79" s="49"/>
      <c r="V79" s="49"/>
      <c r="W79" s="49"/>
      <c r="X79" s="49"/>
      <c r="Y79" s="49"/>
      <c r="Z79" s="49"/>
    </row>
    <row r="80" ht="14.25" customHeight="1">
      <c r="A80" s="49"/>
      <c r="B80" s="49"/>
      <c r="C80" s="49"/>
      <c r="D80" s="49"/>
      <c r="E80" s="49"/>
      <c r="F80" s="49"/>
      <c r="G80" s="49"/>
      <c r="H80" s="49"/>
      <c r="I80" s="49"/>
      <c r="J80" s="49"/>
      <c r="K80" s="49"/>
      <c r="L80" s="49"/>
      <c r="M80" s="49"/>
      <c r="N80" s="49"/>
      <c r="O80" s="49"/>
      <c r="P80" s="49"/>
      <c r="Q80" s="49"/>
      <c r="R80" s="49"/>
      <c r="S80" s="49"/>
      <c r="T80" s="49"/>
      <c r="U80" s="49"/>
      <c r="V80" s="49"/>
      <c r="W80" s="49"/>
      <c r="X80" s="49"/>
      <c r="Y80" s="49"/>
      <c r="Z80" s="49"/>
    </row>
    <row r="81" ht="14.25" customHeight="1">
      <c r="A81" s="49"/>
      <c r="B81" s="49"/>
      <c r="C81" s="49"/>
      <c r="D81" s="49"/>
      <c r="E81" s="49"/>
      <c r="F81" s="49"/>
      <c r="G81" s="49"/>
      <c r="H81" s="49"/>
      <c r="I81" s="49"/>
      <c r="J81" s="49"/>
      <c r="K81" s="49"/>
      <c r="L81" s="49"/>
      <c r="M81" s="49"/>
      <c r="N81" s="49"/>
      <c r="O81" s="49"/>
      <c r="P81" s="49"/>
      <c r="Q81" s="49"/>
      <c r="R81" s="49"/>
      <c r="S81" s="49"/>
      <c r="T81" s="49"/>
      <c r="U81" s="49"/>
      <c r="V81" s="49"/>
      <c r="W81" s="49"/>
      <c r="X81" s="49"/>
      <c r="Y81" s="49"/>
      <c r="Z81" s="49"/>
    </row>
    <row r="82" ht="14.25" customHeight="1">
      <c r="A82" s="49"/>
      <c r="B82" s="49"/>
      <c r="C82" s="49"/>
      <c r="D82" s="49"/>
      <c r="E82" s="49"/>
      <c r="F82" s="49"/>
      <c r="G82" s="49"/>
      <c r="H82" s="49"/>
      <c r="I82" s="49"/>
      <c r="J82" s="49"/>
      <c r="K82" s="49"/>
      <c r="L82" s="49"/>
      <c r="M82" s="49"/>
      <c r="N82" s="49"/>
      <c r="O82" s="49"/>
      <c r="P82" s="49"/>
      <c r="Q82" s="49"/>
      <c r="R82" s="49"/>
      <c r="S82" s="49"/>
      <c r="T82" s="49"/>
      <c r="U82" s="49"/>
      <c r="V82" s="49"/>
      <c r="W82" s="49"/>
      <c r="X82" s="49"/>
      <c r="Y82" s="49"/>
      <c r="Z82" s="49"/>
    </row>
    <row r="83" ht="14.25" customHeight="1">
      <c r="A83" s="49"/>
      <c r="B83" s="49"/>
      <c r="C83" s="49"/>
      <c r="D83" s="49"/>
      <c r="E83" s="49"/>
      <c r="F83" s="49"/>
      <c r="G83" s="49"/>
      <c r="H83" s="49"/>
      <c r="I83" s="49"/>
      <c r="J83" s="49"/>
      <c r="K83" s="49"/>
      <c r="L83" s="49"/>
      <c r="M83" s="49"/>
      <c r="N83" s="49"/>
      <c r="O83" s="49"/>
      <c r="P83" s="49"/>
      <c r="Q83" s="49"/>
      <c r="R83" s="49"/>
      <c r="S83" s="49"/>
      <c r="T83" s="49"/>
      <c r="U83" s="49"/>
      <c r="V83" s="49"/>
      <c r="W83" s="49"/>
      <c r="X83" s="49"/>
      <c r="Y83" s="49"/>
      <c r="Z83" s="49"/>
    </row>
    <row r="84" ht="14.25" customHeight="1">
      <c r="A84" s="49"/>
      <c r="B84" s="49"/>
      <c r="C84" s="49"/>
      <c r="D84" s="49"/>
      <c r="E84" s="49"/>
      <c r="F84" s="49"/>
      <c r="G84" s="49"/>
      <c r="H84" s="49"/>
      <c r="I84" s="49"/>
      <c r="J84" s="49"/>
      <c r="K84" s="49"/>
      <c r="L84" s="49"/>
      <c r="M84" s="49"/>
      <c r="N84" s="49"/>
      <c r="O84" s="49"/>
      <c r="P84" s="49"/>
      <c r="Q84" s="49"/>
      <c r="R84" s="49"/>
      <c r="S84" s="49"/>
      <c r="T84" s="49"/>
      <c r="U84" s="49"/>
      <c r="V84" s="49"/>
      <c r="W84" s="49"/>
      <c r="X84" s="49"/>
      <c r="Y84" s="49"/>
      <c r="Z84" s="49"/>
    </row>
    <row r="85" ht="14.25" customHeight="1">
      <c r="A85" s="49"/>
      <c r="B85" s="49"/>
      <c r="C85" s="49"/>
      <c r="D85" s="49"/>
      <c r="E85" s="49"/>
      <c r="F85" s="49"/>
      <c r="G85" s="49"/>
      <c r="H85" s="49"/>
      <c r="I85" s="49"/>
      <c r="J85" s="49"/>
      <c r="K85" s="49"/>
      <c r="L85" s="49"/>
      <c r="M85" s="49"/>
      <c r="N85" s="49"/>
      <c r="O85" s="49"/>
      <c r="P85" s="49"/>
      <c r="Q85" s="49"/>
      <c r="R85" s="49"/>
      <c r="S85" s="49"/>
      <c r="T85" s="49"/>
      <c r="U85" s="49"/>
      <c r="V85" s="49"/>
      <c r="W85" s="49"/>
      <c r="X85" s="49"/>
      <c r="Y85" s="49"/>
      <c r="Z85" s="49"/>
    </row>
    <row r="86" ht="14.25" customHeight="1">
      <c r="A86" s="49"/>
      <c r="B86" s="49"/>
      <c r="C86" s="49"/>
      <c r="D86" s="49"/>
      <c r="E86" s="49"/>
      <c r="F86" s="49"/>
      <c r="G86" s="49"/>
      <c r="H86" s="49"/>
      <c r="I86" s="49"/>
      <c r="J86" s="49"/>
      <c r="K86" s="49"/>
      <c r="L86" s="49"/>
      <c r="M86" s="49"/>
      <c r="N86" s="49"/>
      <c r="O86" s="49"/>
      <c r="P86" s="49"/>
      <c r="Q86" s="49"/>
      <c r="R86" s="49"/>
      <c r="S86" s="49"/>
      <c r="T86" s="49"/>
      <c r="U86" s="49"/>
      <c r="V86" s="49"/>
      <c r="W86" s="49"/>
      <c r="X86" s="49"/>
      <c r="Y86" s="49"/>
      <c r="Z86" s="49"/>
    </row>
    <row r="87" ht="14.25" customHeight="1">
      <c r="A87" s="49"/>
      <c r="B87" s="49"/>
      <c r="C87" s="49"/>
      <c r="D87" s="49"/>
      <c r="E87" s="49"/>
      <c r="F87" s="49"/>
      <c r="G87" s="49"/>
      <c r="H87" s="49"/>
      <c r="I87" s="49"/>
      <c r="J87" s="49"/>
      <c r="K87" s="49"/>
      <c r="L87" s="49"/>
      <c r="M87" s="49"/>
      <c r="N87" s="49"/>
      <c r="O87" s="49"/>
      <c r="P87" s="49"/>
      <c r="Q87" s="49"/>
      <c r="R87" s="49"/>
      <c r="S87" s="49"/>
      <c r="T87" s="49"/>
      <c r="U87" s="49"/>
      <c r="V87" s="49"/>
      <c r="W87" s="49"/>
      <c r="X87" s="49"/>
      <c r="Y87" s="49"/>
      <c r="Z87" s="49"/>
    </row>
    <row r="88" ht="14.25" customHeight="1">
      <c r="A88" s="49"/>
      <c r="B88" s="49"/>
      <c r="C88" s="49"/>
      <c r="D88" s="49"/>
      <c r="E88" s="49"/>
      <c r="F88" s="49"/>
      <c r="G88" s="49"/>
      <c r="H88" s="49"/>
      <c r="I88" s="49"/>
      <c r="J88" s="49"/>
      <c r="K88" s="49"/>
      <c r="L88" s="49"/>
      <c r="M88" s="49"/>
      <c r="N88" s="49"/>
      <c r="O88" s="49"/>
      <c r="P88" s="49"/>
      <c r="Q88" s="49"/>
      <c r="R88" s="49"/>
      <c r="S88" s="49"/>
      <c r="T88" s="49"/>
      <c r="U88" s="49"/>
      <c r="V88" s="49"/>
      <c r="W88" s="49"/>
      <c r="X88" s="49"/>
      <c r="Y88" s="49"/>
      <c r="Z88" s="49"/>
    </row>
    <row r="89" ht="14.25" customHeight="1">
      <c r="A89" s="49"/>
      <c r="B89" s="49"/>
      <c r="C89" s="49"/>
      <c r="D89" s="49"/>
      <c r="E89" s="49"/>
      <c r="F89" s="49"/>
      <c r="G89" s="49"/>
      <c r="H89" s="49"/>
      <c r="I89" s="49"/>
      <c r="J89" s="49"/>
      <c r="K89" s="49"/>
      <c r="L89" s="49"/>
      <c r="M89" s="49"/>
      <c r="N89" s="49"/>
      <c r="O89" s="49"/>
      <c r="P89" s="49"/>
      <c r="Q89" s="49"/>
      <c r="R89" s="49"/>
      <c r="S89" s="49"/>
      <c r="T89" s="49"/>
      <c r="U89" s="49"/>
      <c r="V89" s="49"/>
      <c r="W89" s="49"/>
      <c r="X89" s="49"/>
      <c r="Y89" s="49"/>
      <c r="Z89" s="49"/>
    </row>
    <row r="90" ht="14.25" customHeight="1">
      <c r="A90" s="49"/>
      <c r="B90" s="49"/>
      <c r="C90" s="49"/>
      <c r="D90" s="49"/>
      <c r="E90" s="49"/>
      <c r="F90" s="49"/>
      <c r="G90" s="49"/>
      <c r="H90" s="49"/>
      <c r="I90" s="49"/>
      <c r="J90" s="49"/>
      <c r="K90" s="49"/>
      <c r="L90" s="49"/>
      <c r="M90" s="49"/>
      <c r="N90" s="49"/>
      <c r="O90" s="49"/>
      <c r="P90" s="49"/>
      <c r="Q90" s="49"/>
      <c r="R90" s="49"/>
      <c r="S90" s="49"/>
      <c r="T90" s="49"/>
      <c r="U90" s="49"/>
      <c r="V90" s="49"/>
      <c r="W90" s="49"/>
      <c r="X90" s="49"/>
      <c r="Y90" s="49"/>
      <c r="Z90" s="49"/>
    </row>
    <row r="91" ht="14.25" customHeight="1">
      <c r="A91" s="49"/>
      <c r="B91" s="49"/>
      <c r="C91" s="49"/>
      <c r="D91" s="49"/>
      <c r="E91" s="49"/>
      <c r="F91" s="49"/>
      <c r="G91" s="49"/>
      <c r="H91" s="49"/>
      <c r="I91" s="49"/>
      <c r="J91" s="49"/>
      <c r="K91" s="49"/>
      <c r="L91" s="49"/>
      <c r="M91" s="49"/>
      <c r="N91" s="49"/>
      <c r="O91" s="49"/>
      <c r="P91" s="49"/>
      <c r="Q91" s="49"/>
      <c r="R91" s="49"/>
      <c r="S91" s="49"/>
      <c r="T91" s="49"/>
      <c r="U91" s="49"/>
      <c r="V91" s="49"/>
      <c r="W91" s="49"/>
      <c r="X91" s="49"/>
      <c r="Y91" s="49"/>
      <c r="Z91" s="49"/>
    </row>
    <row r="92" ht="14.25" customHeight="1">
      <c r="A92" s="49"/>
      <c r="B92" s="49"/>
      <c r="C92" s="49"/>
      <c r="D92" s="49"/>
      <c r="E92" s="49"/>
      <c r="F92" s="49"/>
      <c r="G92" s="49"/>
      <c r="H92" s="49"/>
      <c r="I92" s="49"/>
      <c r="J92" s="49"/>
      <c r="K92" s="49"/>
      <c r="L92" s="49"/>
      <c r="M92" s="49"/>
      <c r="N92" s="49"/>
      <c r="O92" s="49"/>
      <c r="P92" s="49"/>
      <c r="Q92" s="49"/>
      <c r="R92" s="49"/>
      <c r="S92" s="49"/>
      <c r="T92" s="49"/>
      <c r="U92" s="49"/>
      <c r="V92" s="49"/>
      <c r="W92" s="49"/>
      <c r="X92" s="49"/>
      <c r="Y92" s="49"/>
      <c r="Z92" s="49"/>
    </row>
    <row r="93" ht="14.25" customHeight="1">
      <c r="A93" s="49"/>
      <c r="B93" s="49"/>
      <c r="C93" s="49"/>
      <c r="D93" s="49"/>
      <c r="E93" s="49"/>
      <c r="F93" s="49"/>
      <c r="G93" s="49"/>
      <c r="H93" s="49"/>
      <c r="I93" s="49"/>
      <c r="J93" s="49"/>
      <c r="K93" s="49"/>
      <c r="L93" s="49"/>
      <c r="M93" s="49"/>
      <c r="N93" s="49"/>
      <c r="O93" s="49"/>
      <c r="P93" s="49"/>
      <c r="Q93" s="49"/>
      <c r="R93" s="49"/>
      <c r="S93" s="49"/>
      <c r="T93" s="49"/>
      <c r="U93" s="49"/>
      <c r="V93" s="49"/>
      <c r="W93" s="49"/>
      <c r="X93" s="49"/>
      <c r="Y93" s="49"/>
      <c r="Z93" s="49"/>
    </row>
    <row r="94" ht="14.25" customHeight="1">
      <c r="A94" s="49"/>
      <c r="B94" s="49"/>
      <c r="C94" s="49"/>
      <c r="D94" s="49"/>
      <c r="E94" s="49"/>
      <c r="F94" s="49"/>
      <c r="G94" s="49"/>
      <c r="H94" s="49"/>
      <c r="I94" s="49"/>
      <c r="J94" s="49"/>
      <c r="K94" s="49"/>
      <c r="L94" s="49"/>
      <c r="M94" s="49"/>
      <c r="N94" s="49"/>
      <c r="O94" s="49"/>
      <c r="P94" s="49"/>
      <c r="Q94" s="49"/>
      <c r="R94" s="49"/>
      <c r="S94" s="49"/>
      <c r="T94" s="49"/>
      <c r="U94" s="49"/>
      <c r="V94" s="49"/>
      <c r="W94" s="49"/>
      <c r="X94" s="49"/>
      <c r="Y94" s="49"/>
      <c r="Z94" s="49"/>
    </row>
    <row r="95" ht="14.25" customHeight="1">
      <c r="A95" s="49"/>
      <c r="B95" s="49"/>
      <c r="C95" s="49"/>
      <c r="D95" s="49"/>
      <c r="E95" s="49"/>
      <c r="F95" s="49"/>
      <c r="G95" s="49"/>
      <c r="H95" s="49"/>
      <c r="I95" s="49"/>
      <c r="J95" s="49"/>
      <c r="K95" s="49"/>
      <c r="L95" s="49"/>
      <c r="M95" s="49"/>
      <c r="N95" s="49"/>
      <c r="O95" s="49"/>
      <c r="P95" s="49"/>
      <c r="Q95" s="49"/>
      <c r="R95" s="49"/>
      <c r="S95" s="49"/>
      <c r="T95" s="49"/>
      <c r="U95" s="49"/>
      <c r="V95" s="49"/>
      <c r="W95" s="49"/>
      <c r="X95" s="49"/>
      <c r="Y95" s="49"/>
      <c r="Z95" s="49"/>
    </row>
    <row r="96" ht="14.25" customHeight="1">
      <c r="A96" s="49"/>
      <c r="B96" s="49"/>
      <c r="C96" s="49"/>
      <c r="D96" s="49"/>
      <c r="E96" s="49"/>
      <c r="F96" s="49"/>
      <c r="G96" s="49"/>
      <c r="H96" s="49"/>
      <c r="I96" s="49"/>
      <c r="J96" s="49"/>
      <c r="K96" s="49"/>
      <c r="L96" s="49"/>
      <c r="M96" s="49"/>
      <c r="N96" s="49"/>
      <c r="O96" s="49"/>
      <c r="P96" s="49"/>
      <c r="Q96" s="49"/>
      <c r="R96" s="49"/>
      <c r="S96" s="49"/>
      <c r="T96" s="49"/>
      <c r="U96" s="49"/>
      <c r="V96" s="49"/>
      <c r="W96" s="49"/>
      <c r="X96" s="49"/>
      <c r="Y96" s="49"/>
      <c r="Z96" s="49"/>
    </row>
    <row r="97" ht="14.25" customHeight="1">
      <c r="A97" s="49"/>
      <c r="B97" s="49"/>
      <c r="C97" s="49"/>
      <c r="D97" s="49"/>
      <c r="E97" s="49"/>
      <c r="F97" s="49"/>
      <c r="G97" s="49"/>
      <c r="H97" s="49"/>
      <c r="I97" s="49"/>
      <c r="J97" s="49"/>
      <c r="K97" s="49"/>
      <c r="L97" s="49"/>
      <c r="M97" s="49"/>
      <c r="N97" s="49"/>
      <c r="O97" s="49"/>
      <c r="P97" s="49"/>
      <c r="Q97" s="49"/>
      <c r="R97" s="49"/>
      <c r="S97" s="49"/>
      <c r="T97" s="49"/>
      <c r="U97" s="49"/>
      <c r="V97" s="49"/>
      <c r="W97" s="49"/>
      <c r="X97" s="49"/>
      <c r="Y97" s="49"/>
      <c r="Z97" s="49"/>
    </row>
    <row r="98" ht="14.25" customHeight="1">
      <c r="A98" s="49"/>
      <c r="B98" s="49"/>
      <c r="C98" s="49"/>
      <c r="D98" s="49"/>
      <c r="E98" s="49"/>
      <c r="F98" s="49"/>
      <c r="G98" s="49"/>
      <c r="H98" s="49"/>
      <c r="I98" s="49"/>
      <c r="J98" s="49"/>
      <c r="K98" s="49"/>
      <c r="L98" s="49"/>
      <c r="M98" s="49"/>
      <c r="N98" s="49"/>
      <c r="O98" s="49"/>
      <c r="P98" s="49"/>
      <c r="Q98" s="49"/>
      <c r="R98" s="49"/>
      <c r="S98" s="49"/>
      <c r="T98" s="49"/>
      <c r="U98" s="49"/>
      <c r="V98" s="49"/>
      <c r="W98" s="49"/>
      <c r="X98" s="49"/>
      <c r="Y98" s="49"/>
      <c r="Z98" s="49"/>
    </row>
    <row r="99" ht="14.25" customHeight="1">
      <c r="A99" s="49"/>
      <c r="B99" s="49"/>
      <c r="C99" s="49"/>
      <c r="D99" s="49"/>
      <c r="E99" s="49"/>
      <c r="F99" s="49"/>
      <c r="G99" s="49"/>
      <c r="H99" s="49"/>
      <c r="I99" s="49"/>
      <c r="J99" s="49"/>
      <c r="K99" s="49"/>
      <c r="L99" s="49"/>
      <c r="M99" s="49"/>
      <c r="N99" s="49"/>
      <c r="O99" s="49"/>
      <c r="P99" s="49"/>
      <c r="Q99" s="49"/>
      <c r="R99" s="49"/>
      <c r="S99" s="49"/>
      <c r="T99" s="49"/>
      <c r="U99" s="49"/>
      <c r="V99" s="49"/>
      <c r="W99" s="49"/>
      <c r="X99" s="49"/>
      <c r="Y99" s="49"/>
      <c r="Z99" s="49"/>
    </row>
    <row r="100" ht="14.25" customHeight="1">
      <c r="A100" s="49"/>
      <c r="B100" s="49"/>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row>
    <row r="101" ht="14.25" customHeight="1">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row>
    <row r="102" ht="14.25" customHeight="1">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row>
    <row r="103" ht="14.25" customHeight="1">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row>
    <row r="104" ht="14.25" customHeight="1">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row>
    <row r="105" ht="14.25" customHeight="1">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row>
    <row r="106" ht="14.25" customHeight="1">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row>
    <row r="107" ht="14.25" customHeight="1">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row>
    <row r="108" ht="14.25" customHeight="1">
      <c r="A108" s="49"/>
      <c r="B108" s="49"/>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49"/>
    </row>
    <row r="109" ht="14.25" customHeight="1">
      <c r="A109" s="49"/>
      <c r="B109" s="49"/>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row>
    <row r="110" ht="14.25" customHeight="1">
      <c r="A110" s="49"/>
      <c r="B110" s="49"/>
      <c r="C110" s="49"/>
      <c r="D110" s="49"/>
      <c r="E110" s="49"/>
      <c r="F110" s="49"/>
      <c r="G110" s="49"/>
      <c r="H110" s="49"/>
      <c r="I110" s="49"/>
      <c r="J110" s="49"/>
      <c r="K110" s="49"/>
      <c r="L110" s="49"/>
      <c r="M110" s="49"/>
      <c r="N110" s="49"/>
      <c r="O110" s="49"/>
      <c r="P110" s="49"/>
      <c r="Q110" s="49"/>
      <c r="R110" s="49"/>
      <c r="S110" s="49"/>
      <c r="T110" s="49"/>
      <c r="U110" s="49"/>
      <c r="V110" s="49"/>
      <c r="W110" s="49"/>
      <c r="X110" s="49"/>
      <c r="Y110" s="49"/>
      <c r="Z110" s="49"/>
    </row>
    <row r="111" ht="14.25" customHeight="1">
      <c r="A111" s="49"/>
      <c r="B111" s="49"/>
      <c r="C111" s="49"/>
      <c r="D111" s="49"/>
      <c r="E111" s="49"/>
      <c r="F111" s="49"/>
      <c r="G111" s="49"/>
      <c r="H111" s="49"/>
      <c r="I111" s="49"/>
      <c r="J111" s="49"/>
      <c r="K111" s="49"/>
      <c r="L111" s="49"/>
      <c r="M111" s="49"/>
      <c r="N111" s="49"/>
      <c r="O111" s="49"/>
      <c r="P111" s="49"/>
      <c r="Q111" s="49"/>
      <c r="R111" s="49"/>
      <c r="S111" s="49"/>
      <c r="T111" s="49"/>
      <c r="U111" s="49"/>
      <c r="V111" s="49"/>
      <c r="W111" s="49"/>
      <c r="X111" s="49"/>
      <c r="Y111" s="49"/>
      <c r="Z111" s="49"/>
    </row>
    <row r="112" ht="14.25" customHeight="1">
      <c r="A112" s="49"/>
      <c r="B112" s="49"/>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row>
    <row r="113" ht="14.25" customHeight="1">
      <c r="A113" s="49"/>
      <c r="B113" s="49"/>
      <c r="C113" s="49"/>
      <c r="D113" s="49"/>
      <c r="E113" s="49"/>
      <c r="F113" s="49"/>
      <c r="G113" s="49"/>
      <c r="H113" s="49"/>
      <c r="I113" s="49"/>
      <c r="J113" s="49"/>
      <c r="K113" s="49"/>
      <c r="L113" s="49"/>
      <c r="M113" s="49"/>
      <c r="N113" s="49"/>
      <c r="O113" s="49"/>
      <c r="P113" s="49"/>
      <c r="Q113" s="49"/>
      <c r="R113" s="49"/>
      <c r="S113" s="49"/>
      <c r="T113" s="49"/>
      <c r="U113" s="49"/>
      <c r="V113" s="49"/>
      <c r="W113" s="49"/>
      <c r="X113" s="49"/>
      <c r="Y113" s="49"/>
      <c r="Z113" s="49"/>
    </row>
    <row r="114" ht="14.25" customHeight="1">
      <c r="A114" s="49"/>
      <c r="B114" s="49"/>
      <c r="C114" s="49"/>
      <c r="D114" s="49"/>
      <c r="E114" s="49"/>
      <c r="F114" s="49"/>
      <c r="G114" s="49"/>
      <c r="H114" s="49"/>
      <c r="I114" s="49"/>
      <c r="J114" s="49"/>
      <c r="K114" s="49"/>
      <c r="L114" s="49"/>
      <c r="M114" s="49"/>
      <c r="N114" s="49"/>
      <c r="O114" s="49"/>
      <c r="P114" s="49"/>
      <c r="Q114" s="49"/>
      <c r="R114" s="49"/>
      <c r="S114" s="49"/>
      <c r="T114" s="49"/>
      <c r="U114" s="49"/>
      <c r="V114" s="49"/>
      <c r="W114" s="49"/>
      <c r="X114" s="49"/>
      <c r="Y114" s="49"/>
      <c r="Z114" s="49"/>
    </row>
    <row r="115" ht="14.25" customHeight="1">
      <c r="A115" s="49"/>
      <c r="B115" s="49"/>
      <c r="C115" s="49"/>
      <c r="D115" s="49"/>
      <c r="E115" s="49"/>
      <c r="F115" s="49"/>
      <c r="G115" s="49"/>
      <c r="H115" s="49"/>
      <c r="I115" s="49"/>
      <c r="J115" s="49"/>
      <c r="K115" s="49"/>
      <c r="L115" s="49"/>
      <c r="M115" s="49"/>
      <c r="N115" s="49"/>
      <c r="O115" s="49"/>
      <c r="P115" s="49"/>
      <c r="Q115" s="49"/>
      <c r="R115" s="49"/>
      <c r="S115" s="49"/>
      <c r="T115" s="49"/>
      <c r="U115" s="49"/>
      <c r="V115" s="49"/>
      <c r="W115" s="49"/>
      <c r="X115" s="49"/>
      <c r="Y115" s="49"/>
      <c r="Z115" s="49"/>
    </row>
    <row r="116" ht="14.25" customHeight="1">
      <c r="A116" s="49"/>
      <c r="B116" s="49"/>
      <c r="C116" s="49"/>
      <c r="D116" s="49"/>
      <c r="E116" s="49"/>
      <c r="F116" s="49"/>
      <c r="G116" s="49"/>
      <c r="H116" s="49"/>
      <c r="I116" s="49"/>
      <c r="J116" s="49"/>
      <c r="K116" s="49"/>
      <c r="L116" s="49"/>
      <c r="M116" s="49"/>
      <c r="N116" s="49"/>
      <c r="O116" s="49"/>
      <c r="P116" s="49"/>
      <c r="Q116" s="49"/>
      <c r="R116" s="49"/>
      <c r="S116" s="49"/>
      <c r="T116" s="49"/>
      <c r="U116" s="49"/>
      <c r="V116" s="49"/>
      <c r="W116" s="49"/>
      <c r="X116" s="49"/>
      <c r="Y116" s="49"/>
      <c r="Z116" s="49"/>
    </row>
    <row r="117" ht="14.25" customHeight="1">
      <c r="A117" s="49"/>
      <c r="B117" s="49"/>
      <c r="C117" s="49"/>
      <c r="D117" s="49"/>
      <c r="E117" s="49"/>
      <c r="F117" s="49"/>
      <c r="G117" s="49"/>
      <c r="H117" s="49"/>
      <c r="I117" s="49"/>
      <c r="J117" s="49"/>
      <c r="K117" s="49"/>
      <c r="L117" s="49"/>
      <c r="M117" s="49"/>
      <c r="N117" s="49"/>
      <c r="O117" s="49"/>
      <c r="P117" s="49"/>
      <c r="Q117" s="49"/>
      <c r="R117" s="49"/>
      <c r="S117" s="49"/>
      <c r="T117" s="49"/>
      <c r="U117" s="49"/>
      <c r="V117" s="49"/>
      <c r="W117" s="49"/>
      <c r="X117" s="49"/>
      <c r="Y117" s="49"/>
      <c r="Z117" s="49"/>
    </row>
    <row r="118" ht="14.25" customHeight="1">
      <c r="A118" s="49"/>
      <c r="B118" s="49"/>
      <c r="C118" s="49"/>
      <c r="D118" s="49"/>
      <c r="E118" s="49"/>
      <c r="F118" s="49"/>
      <c r="G118" s="49"/>
      <c r="H118" s="49"/>
      <c r="I118" s="49"/>
      <c r="J118" s="49"/>
      <c r="K118" s="49"/>
      <c r="L118" s="49"/>
      <c r="M118" s="49"/>
      <c r="N118" s="49"/>
      <c r="O118" s="49"/>
      <c r="P118" s="49"/>
      <c r="Q118" s="49"/>
      <c r="R118" s="49"/>
      <c r="S118" s="49"/>
      <c r="T118" s="49"/>
      <c r="U118" s="49"/>
      <c r="V118" s="49"/>
      <c r="W118" s="49"/>
      <c r="X118" s="49"/>
      <c r="Y118" s="49"/>
      <c r="Z118" s="49"/>
    </row>
    <row r="119" ht="14.25" customHeight="1">
      <c r="A119" s="49"/>
      <c r="B119" s="49"/>
      <c r="C119" s="49"/>
      <c r="D119" s="49"/>
      <c r="E119" s="49"/>
      <c r="F119" s="49"/>
      <c r="G119" s="49"/>
      <c r="H119" s="49"/>
      <c r="I119" s="49"/>
      <c r="J119" s="49"/>
      <c r="K119" s="49"/>
      <c r="L119" s="49"/>
      <c r="M119" s="49"/>
      <c r="N119" s="49"/>
      <c r="O119" s="49"/>
      <c r="P119" s="49"/>
      <c r="Q119" s="49"/>
      <c r="R119" s="49"/>
      <c r="S119" s="49"/>
      <c r="T119" s="49"/>
      <c r="U119" s="49"/>
      <c r="V119" s="49"/>
      <c r="W119" s="49"/>
      <c r="X119" s="49"/>
      <c r="Y119" s="49"/>
      <c r="Z119" s="49"/>
    </row>
    <row r="120" ht="14.25" customHeight="1">
      <c r="A120" s="49"/>
      <c r="B120" s="49"/>
      <c r="C120" s="49"/>
      <c r="D120" s="49"/>
      <c r="E120" s="49"/>
      <c r="F120" s="49"/>
      <c r="G120" s="49"/>
      <c r="H120" s="49"/>
      <c r="I120" s="49"/>
      <c r="J120" s="49"/>
      <c r="K120" s="49"/>
      <c r="L120" s="49"/>
      <c r="M120" s="49"/>
      <c r="N120" s="49"/>
      <c r="O120" s="49"/>
      <c r="P120" s="49"/>
      <c r="Q120" s="49"/>
      <c r="R120" s="49"/>
      <c r="S120" s="49"/>
      <c r="T120" s="49"/>
      <c r="U120" s="49"/>
      <c r="V120" s="49"/>
      <c r="W120" s="49"/>
      <c r="X120" s="49"/>
      <c r="Y120" s="49"/>
      <c r="Z120" s="49"/>
    </row>
    <row r="121" ht="14.25" customHeight="1">
      <c r="A121" s="49"/>
      <c r="B121" s="49"/>
      <c r="C121" s="49"/>
      <c r="D121" s="49"/>
      <c r="E121" s="49"/>
      <c r="F121" s="49"/>
      <c r="G121" s="49"/>
      <c r="H121" s="49"/>
      <c r="I121" s="49"/>
      <c r="J121" s="49"/>
      <c r="K121" s="49"/>
      <c r="L121" s="49"/>
      <c r="M121" s="49"/>
      <c r="N121" s="49"/>
      <c r="O121" s="49"/>
      <c r="P121" s="49"/>
      <c r="Q121" s="49"/>
      <c r="R121" s="49"/>
      <c r="S121" s="49"/>
      <c r="T121" s="49"/>
      <c r="U121" s="49"/>
      <c r="V121" s="49"/>
      <c r="W121" s="49"/>
      <c r="X121" s="49"/>
      <c r="Y121" s="49"/>
      <c r="Z121" s="49"/>
    </row>
    <row r="122" ht="14.25" customHeight="1">
      <c r="A122" s="49"/>
      <c r="B122" s="49"/>
      <c r="C122" s="49"/>
      <c r="D122" s="49"/>
      <c r="E122" s="49"/>
      <c r="F122" s="49"/>
      <c r="G122" s="49"/>
      <c r="H122" s="49"/>
      <c r="I122" s="49"/>
      <c r="J122" s="49"/>
      <c r="K122" s="49"/>
      <c r="L122" s="49"/>
      <c r="M122" s="49"/>
      <c r="N122" s="49"/>
      <c r="O122" s="49"/>
      <c r="P122" s="49"/>
      <c r="Q122" s="49"/>
      <c r="R122" s="49"/>
      <c r="S122" s="49"/>
      <c r="T122" s="49"/>
      <c r="U122" s="49"/>
      <c r="V122" s="49"/>
      <c r="W122" s="49"/>
      <c r="X122" s="49"/>
      <c r="Y122" s="49"/>
      <c r="Z122" s="49"/>
    </row>
    <row r="123" ht="14.25" customHeight="1">
      <c r="A123" s="49"/>
      <c r="B123" s="49"/>
      <c r="C123" s="49"/>
      <c r="D123" s="49"/>
      <c r="E123" s="49"/>
      <c r="F123" s="49"/>
      <c r="G123" s="49"/>
      <c r="H123" s="49"/>
      <c r="I123" s="49"/>
      <c r="J123" s="49"/>
      <c r="K123" s="49"/>
      <c r="L123" s="49"/>
      <c r="M123" s="49"/>
      <c r="N123" s="49"/>
      <c r="O123" s="49"/>
      <c r="P123" s="49"/>
      <c r="Q123" s="49"/>
      <c r="R123" s="49"/>
      <c r="S123" s="49"/>
      <c r="T123" s="49"/>
      <c r="U123" s="49"/>
      <c r="V123" s="49"/>
      <c r="W123" s="49"/>
      <c r="X123" s="49"/>
      <c r="Y123" s="49"/>
      <c r="Z123" s="49"/>
    </row>
    <row r="124" ht="14.25" customHeight="1">
      <c r="A124" s="49"/>
      <c r="B124" s="49"/>
      <c r="C124" s="49"/>
      <c r="D124" s="49"/>
      <c r="E124" s="49"/>
      <c r="F124" s="49"/>
      <c r="G124" s="49"/>
      <c r="H124" s="49"/>
      <c r="I124" s="49"/>
      <c r="J124" s="49"/>
      <c r="K124" s="49"/>
      <c r="L124" s="49"/>
      <c r="M124" s="49"/>
      <c r="N124" s="49"/>
      <c r="O124" s="49"/>
      <c r="P124" s="49"/>
      <c r="Q124" s="49"/>
      <c r="R124" s="49"/>
      <c r="S124" s="49"/>
      <c r="T124" s="49"/>
      <c r="U124" s="49"/>
      <c r="V124" s="49"/>
      <c r="W124" s="49"/>
      <c r="X124" s="49"/>
      <c r="Y124" s="49"/>
      <c r="Z124" s="49"/>
    </row>
    <row r="125" ht="14.25" customHeight="1">
      <c r="A125" s="49"/>
      <c r="B125" s="49"/>
      <c r="C125" s="49"/>
      <c r="D125" s="49"/>
      <c r="E125" s="49"/>
      <c r="F125" s="49"/>
      <c r="G125" s="49"/>
      <c r="H125" s="49"/>
      <c r="I125" s="49"/>
      <c r="J125" s="49"/>
      <c r="K125" s="49"/>
      <c r="L125" s="49"/>
      <c r="M125" s="49"/>
      <c r="N125" s="49"/>
      <c r="O125" s="49"/>
      <c r="P125" s="49"/>
      <c r="Q125" s="49"/>
      <c r="R125" s="49"/>
      <c r="S125" s="49"/>
      <c r="T125" s="49"/>
      <c r="U125" s="49"/>
      <c r="V125" s="49"/>
      <c r="W125" s="49"/>
      <c r="X125" s="49"/>
      <c r="Y125" s="49"/>
      <c r="Z125" s="49"/>
    </row>
    <row r="126" ht="14.25" customHeight="1">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row>
    <row r="127" ht="14.25" customHeight="1">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row>
    <row r="128" ht="14.25" customHeight="1">
      <c r="A128" s="49"/>
      <c r="B128" s="49"/>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row>
    <row r="129" ht="14.25" customHeight="1">
      <c r="A129" s="49"/>
      <c r="B129" s="49"/>
      <c r="C129" s="49"/>
      <c r="D129" s="49"/>
      <c r="E129" s="49"/>
      <c r="F129" s="49"/>
      <c r="G129" s="49"/>
      <c r="H129" s="49"/>
      <c r="I129" s="49"/>
      <c r="J129" s="49"/>
      <c r="K129" s="49"/>
      <c r="L129" s="49"/>
      <c r="M129" s="49"/>
      <c r="N129" s="49"/>
      <c r="O129" s="49"/>
      <c r="P129" s="49"/>
      <c r="Q129" s="49"/>
      <c r="R129" s="49"/>
      <c r="S129" s="49"/>
      <c r="T129" s="49"/>
      <c r="U129" s="49"/>
      <c r="V129" s="49"/>
      <c r="W129" s="49"/>
      <c r="X129" s="49"/>
      <c r="Y129" s="49"/>
      <c r="Z129" s="49"/>
    </row>
    <row r="130" ht="14.25" customHeight="1">
      <c r="A130" s="49"/>
      <c r="B130" s="49"/>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row>
    <row r="131" ht="14.25" customHeight="1">
      <c r="A131" s="49"/>
      <c r="B131" s="49"/>
      <c r="C131" s="49"/>
      <c r="D131" s="49"/>
      <c r="E131" s="49"/>
      <c r="F131" s="49"/>
      <c r="G131" s="49"/>
      <c r="H131" s="49"/>
      <c r="I131" s="49"/>
      <c r="J131" s="49"/>
      <c r="K131" s="49"/>
      <c r="L131" s="49"/>
      <c r="M131" s="49"/>
      <c r="N131" s="49"/>
      <c r="O131" s="49"/>
      <c r="P131" s="49"/>
      <c r="Q131" s="49"/>
      <c r="R131" s="49"/>
      <c r="S131" s="49"/>
      <c r="T131" s="49"/>
      <c r="U131" s="49"/>
      <c r="V131" s="49"/>
      <c r="W131" s="49"/>
      <c r="X131" s="49"/>
      <c r="Y131" s="49"/>
      <c r="Z131" s="49"/>
    </row>
    <row r="132" ht="14.25" customHeight="1">
      <c r="A132" s="49"/>
      <c r="B132" s="49"/>
      <c r="C132" s="49"/>
      <c r="D132" s="49"/>
      <c r="E132" s="49"/>
      <c r="F132" s="49"/>
      <c r="G132" s="49"/>
      <c r="H132" s="49"/>
      <c r="I132" s="49"/>
      <c r="J132" s="49"/>
      <c r="K132" s="49"/>
      <c r="L132" s="49"/>
      <c r="M132" s="49"/>
      <c r="N132" s="49"/>
      <c r="O132" s="49"/>
      <c r="P132" s="49"/>
      <c r="Q132" s="49"/>
      <c r="R132" s="49"/>
      <c r="S132" s="49"/>
      <c r="T132" s="49"/>
      <c r="U132" s="49"/>
      <c r="V132" s="49"/>
      <c r="W132" s="49"/>
      <c r="X132" s="49"/>
      <c r="Y132" s="49"/>
      <c r="Z132" s="49"/>
    </row>
    <row r="133" ht="14.25" customHeight="1">
      <c r="A133" s="49"/>
      <c r="B133" s="49"/>
      <c r="C133" s="49"/>
      <c r="D133" s="49"/>
      <c r="E133" s="49"/>
      <c r="F133" s="49"/>
      <c r="G133" s="49"/>
      <c r="H133" s="49"/>
      <c r="I133" s="49"/>
      <c r="J133" s="49"/>
      <c r="K133" s="49"/>
      <c r="L133" s="49"/>
      <c r="M133" s="49"/>
      <c r="N133" s="49"/>
      <c r="O133" s="49"/>
      <c r="P133" s="49"/>
      <c r="Q133" s="49"/>
      <c r="R133" s="49"/>
      <c r="S133" s="49"/>
      <c r="T133" s="49"/>
      <c r="U133" s="49"/>
      <c r="V133" s="49"/>
      <c r="W133" s="49"/>
      <c r="X133" s="49"/>
      <c r="Y133" s="49"/>
      <c r="Z133" s="49"/>
    </row>
    <row r="134" ht="14.25" customHeight="1">
      <c r="A134" s="49"/>
      <c r="B134" s="49"/>
      <c r="C134" s="49"/>
      <c r="D134" s="49"/>
      <c r="E134" s="49"/>
      <c r="F134" s="49"/>
      <c r="G134" s="49"/>
      <c r="H134" s="49"/>
      <c r="I134" s="49"/>
      <c r="J134" s="49"/>
      <c r="K134" s="49"/>
      <c r="L134" s="49"/>
      <c r="M134" s="49"/>
      <c r="N134" s="49"/>
      <c r="O134" s="49"/>
      <c r="P134" s="49"/>
      <c r="Q134" s="49"/>
      <c r="R134" s="49"/>
      <c r="S134" s="49"/>
      <c r="T134" s="49"/>
      <c r="U134" s="49"/>
      <c r="V134" s="49"/>
      <c r="W134" s="49"/>
      <c r="X134" s="49"/>
      <c r="Y134" s="49"/>
      <c r="Z134" s="49"/>
    </row>
    <row r="135" ht="14.25" customHeight="1">
      <c r="A135" s="49"/>
      <c r="B135" s="49"/>
      <c r="C135" s="49"/>
      <c r="D135" s="49"/>
      <c r="E135" s="49"/>
      <c r="F135" s="49"/>
      <c r="G135" s="49"/>
      <c r="H135" s="49"/>
      <c r="I135" s="49"/>
      <c r="J135" s="49"/>
      <c r="K135" s="49"/>
      <c r="L135" s="49"/>
      <c r="M135" s="49"/>
      <c r="N135" s="49"/>
      <c r="O135" s="49"/>
      <c r="P135" s="49"/>
      <c r="Q135" s="49"/>
      <c r="R135" s="49"/>
      <c r="S135" s="49"/>
      <c r="T135" s="49"/>
      <c r="U135" s="49"/>
      <c r="V135" s="49"/>
      <c r="W135" s="49"/>
      <c r="X135" s="49"/>
      <c r="Y135" s="49"/>
      <c r="Z135" s="49"/>
    </row>
    <row r="136" ht="14.25" customHeight="1">
      <c r="A136" s="49"/>
      <c r="B136" s="49"/>
      <c r="C136" s="49"/>
      <c r="D136" s="49"/>
      <c r="E136" s="49"/>
      <c r="F136" s="49"/>
      <c r="G136" s="49"/>
      <c r="H136" s="49"/>
      <c r="I136" s="49"/>
      <c r="J136" s="49"/>
      <c r="K136" s="49"/>
      <c r="L136" s="49"/>
      <c r="M136" s="49"/>
      <c r="N136" s="49"/>
      <c r="O136" s="49"/>
      <c r="P136" s="49"/>
      <c r="Q136" s="49"/>
      <c r="R136" s="49"/>
      <c r="S136" s="49"/>
      <c r="T136" s="49"/>
      <c r="U136" s="49"/>
      <c r="V136" s="49"/>
      <c r="W136" s="49"/>
      <c r="X136" s="49"/>
      <c r="Y136" s="49"/>
      <c r="Z136" s="49"/>
    </row>
    <row r="137" ht="14.25" customHeight="1">
      <c r="A137" s="49"/>
      <c r="B137" s="49"/>
      <c r="C137" s="49"/>
      <c r="D137" s="49"/>
      <c r="E137" s="49"/>
      <c r="F137" s="49"/>
      <c r="G137" s="49"/>
      <c r="H137" s="49"/>
      <c r="I137" s="49"/>
      <c r="J137" s="49"/>
      <c r="K137" s="49"/>
      <c r="L137" s="49"/>
      <c r="M137" s="49"/>
      <c r="N137" s="49"/>
      <c r="O137" s="49"/>
      <c r="P137" s="49"/>
      <c r="Q137" s="49"/>
      <c r="R137" s="49"/>
      <c r="S137" s="49"/>
      <c r="T137" s="49"/>
      <c r="U137" s="49"/>
      <c r="V137" s="49"/>
      <c r="W137" s="49"/>
      <c r="X137" s="49"/>
      <c r="Y137" s="49"/>
      <c r="Z137" s="49"/>
    </row>
    <row r="138" ht="14.25" customHeight="1">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row>
    <row r="139" ht="14.25" customHeight="1">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row>
    <row r="140" ht="14.25" customHeight="1">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row>
    <row r="141" ht="14.25" customHeight="1">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row>
    <row r="142" ht="14.25" customHeight="1">
      <c r="A142" s="49"/>
      <c r="B142" s="49"/>
      <c r="C142" s="49"/>
      <c r="D142" s="49"/>
      <c r="E142" s="49"/>
      <c r="F142" s="49"/>
      <c r="G142" s="49"/>
      <c r="H142" s="49"/>
      <c r="I142" s="49"/>
      <c r="J142" s="49"/>
      <c r="K142" s="49"/>
      <c r="L142" s="49"/>
      <c r="M142" s="49"/>
      <c r="N142" s="49"/>
      <c r="O142" s="49"/>
      <c r="P142" s="49"/>
      <c r="Q142" s="49"/>
      <c r="R142" s="49"/>
      <c r="S142" s="49"/>
      <c r="T142" s="49"/>
      <c r="U142" s="49"/>
      <c r="V142" s="49"/>
      <c r="W142" s="49"/>
      <c r="X142" s="49"/>
      <c r="Y142" s="49"/>
      <c r="Z142" s="49"/>
    </row>
    <row r="143" ht="14.25" customHeight="1">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row>
    <row r="144" ht="14.25" customHeight="1">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row>
    <row r="145" ht="14.25" customHeight="1">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row>
    <row r="146" ht="14.25" customHeight="1">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row>
    <row r="147" ht="14.25" customHeight="1">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row>
    <row r="148" ht="14.25" customHeight="1">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row>
    <row r="149" ht="14.25" customHeight="1">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row>
    <row r="150" ht="14.25" customHeight="1">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row>
    <row r="151" ht="14.25" customHeight="1">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row>
    <row r="152" ht="14.25" customHeight="1">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row>
    <row r="153" ht="14.25" customHeight="1">
      <c r="A153" s="49"/>
      <c r="B153" s="49"/>
      <c r="C153" s="49"/>
      <c r="D153" s="49"/>
      <c r="E153" s="49"/>
      <c r="F153" s="49"/>
      <c r="G153" s="49"/>
      <c r="H153" s="49"/>
      <c r="I153" s="49"/>
      <c r="J153" s="49"/>
      <c r="K153" s="49"/>
      <c r="L153" s="49"/>
      <c r="M153" s="49"/>
      <c r="N153" s="49"/>
      <c r="O153" s="49"/>
      <c r="P153" s="49"/>
      <c r="Q153" s="49"/>
      <c r="R153" s="49"/>
      <c r="S153" s="49"/>
      <c r="T153" s="49"/>
      <c r="U153" s="49"/>
      <c r="V153" s="49"/>
      <c r="W153" s="49"/>
      <c r="X153" s="49"/>
      <c r="Y153" s="49"/>
      <c r="Z153" s="49"/>
    </row>
    <row r="154" ht="14.25" customHeight="1">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row>
    <row r="155" ht="14.25" customHeight="1">
      <c r="A155" s="49"/>
      <c r="B155" s="49"/>
      <c r="C155" s="49"/>
      <c r="D155" s="49"/>
      <c r="E155" s="49"/>
      <c r="F155" s="49"/>
      <c r="G155" s="49"/>
      <c r="H155" s="49"/>
      <c r="I155" s="49"/>
      <c r="J155" s="49"/>
      <c r="K155" s="49"/>
      <c r="L155" s="49"/>
      <c r="M155" s="49"/>
      <c r="N155" s="49"/>
      <c r="O155" s="49"/>
      <c r="P155" s="49"/>
      <c r="Q155" s="49"/>
      <c r="R155" s="49"/>
      <c r="S155" s="49"/>
      <c r="T155" s="49"/>
      <c r="U155" s="49"/>
      <c r="V155" s="49"/>
      <c r="W155" s="49"/>
      <c r="X155" s="49"/>
      <c r="Y155" s="49"/>
      <c r="Z155" s="49"/>
    </row>
    <row r="156" ht="14.25" customHeight="1">
      <c r="A156" s="49"/>
      <c r="B156" s="49"/>
      <c r="C156" s="49"/>
      <c r="D156" s="49"/>
      <c r="E156" s="49"/>
      <c r="F156" s="49"/>
      <c r="G156" s="49"/>
      <c r="H156" s="49"/>
      <c r="I156" s="49"/>
      <c r="J156" s="49"/>
      <c r="K156" s="49"/>
      <c r="L156" s="49"/>
      <c r="M156" s="49"/>
      <c r="N156" s="49"/>
      <c r="O156" s="49"/>
      <c r="P156" s="49"/>
      <c r="Q156" s="49"/>
      <c r="R156" s="49"/>
      <c r="S156" s="49"/>
      <c r="T156" s="49"/>
      <c r="U156" s="49"/>
      <c r="V156" s="49"/>
      <c r="W156" s="49"/>
      <c r="X156" s="49"/>
      <c r="Y156" s="49"/>
      <c r="Z156" s="49"/>
    </row>
    <row r="157" ht="14.25" customHeight="1">
      <c r="A157" s="49"/>
      <c r="B157" s="49"/>
      <c r="C157" s="49"/>
      <c r="D157" s="49"/>
      <c r="E157" s="49"/>
      <c r="F157" s="49"/>
      <c r="G157" s="49"/>
      <c r="H157" s="49"/>
      <c r="I157" s="49"/>
      <c r="J157" s="49"/>
      <c r="K157" s="49"/>
      <c r="L157" s="49"/>
      <c r="M157" s="49"/>
      <c r="N157" s="49"/>
      <c r="O157" s="49"/>
      <c r="P157" s="49"/>
      <c r="Q157" s="49"/>
      <c r="R157" s="49"/>
      <c r="S157" s="49"/>
      <c r="T157" s="49"/>
      <c r="U157" s="49"/>
      <c r="V157" s="49"/>
      <c r="W157" s="49"/>
      <c r="X157" s="49"/>
      <c r="Y157" s="49"/>
      <c r="Z157" s="49"/>
    </row>
    <row r="158" ht="14.25" customHeight="1">
      <c r="A158" s="49"/>
      <c r="B158" s="49"/>
      <c r="C158" s="49"/>
      <c r="D158" s="49"/>
      <c r="E158" s="49"/>
      <c r="F158" s="49"/>
      <c r="G158" s="49"/>
      <c r="H158" s="49"/>
      <c r="I158" s="49"/>
      <c r="J158" s="49"/>
      <c r="K158" s="49"/>
      <c r="L158" s="49"/>
      <c r="M158" s="49"/>
      <c r="N158" s="49"/>
      <c r="O158" s="49"/>
      <c r="P158" s="49"/>
      <c r="Q158" s="49"/>
      <c r="R158" s="49"/>
      <c r="S158" s="49"/>
      <c r="T158" s="49"/>
      <c r="U158" s="49"/>
      <c r="V158" s="49"/>
      <c r="W158" s="49"/>
      <c r="X158" s="49"/>
      <c r="Y158" s="49"/>
      <c r="Z158" s="49"/>
    </row>
    <row r="159" ht="14.25" customHeight="1">
      <c r="A159" s="49"/>
      <c r="B159" s="49"/>
      <c r="C159" s="49"/>
      <c r="D159" s="49"/>
      <c r="E159" s="49"/>
      <c r="F159" s="49"/>
      <c r="G159" s="49"/>
      <c r="H159" s="49"/>
      <c r="I159" s="49"/>
      <c r="J159" s="49"/>
      <c r="K159" s="49"/>
      <c r="L159" s="49"/>
      <c r="M159" s="49"/>
      <c r="N159" s="49"/>
      <c r="O159" s="49"/>
      <c r="P159" s="49"/>
      <c r="Q159" s="49"/>
      <c r="R159" s="49"/>
      <c r="S159" s="49"/>
      <c r="T159" s="49"/>
      <c r="U159" s="49"/>
      <c r="V159" s="49"/>
      <c r="W159" s="49"/>
      <c r="X159" s="49"/>
      <c r="Y159" s="49"/>
      <c r="Z159" s="49"/>
    </row>
    <row r="160" ht="14.25" customHeight="1">
      <c r="A160" s="49"/>
      <c r="B160" s="49"/>
      <c r="C160" s="49"/>
      <c r="D160" s="49"/>
      <c r="E160" s="49"/>
      <c r="F160" s="49"/>
      <c r="G160" s="49"/>
      <c r="H160" s="49"/>
      <c r="I160" s="49"/>
      <c r="J160" s="49"/>
      <c r="K160" s="49"/>
      <c r="L160" s="49"/>
      <c r="M160" s="49"/>
      <c r="N160" s="49"/>
      <c r="O160" s="49"/>
      <c r="P160" s="49"/>
      <c r="Q160" s="49"/>
      <c r="R160" s="49"/>
      <c r="S160" s="49"/>
      <c r="T160" s="49"/>
      <c r="U160" s="49"/>
      <c r="V160" s="49"/>
      <c r="W160" s="49"/>
      <c r="X160" s="49"/>
      <c r="Y160" s="49"/>
      <c r="Z160" s="49"/>
    </row>
    <row r="161" ht="14.25" customHeight="1">
      <c r="A161" s="49"/>
      <c r="B161" s="49"/>
      <c r="C161" s="49"/>
      <c r="D161" s="49"/>
      <c r="E161" s="49"/>
      <c r="F161" s="49"/>
      <c r="G161" s="49"/>
      <c r="H161" s="49"/>
      <c r="I161" s="49"/>
      <c r="J161" s="49"/>
      <c r="K161" s="49"/>
      <c r="L161" s="49"/>
      <c r="M161" s="49"/>
      <c r="N161" s="49"/>
      <c r="O161" s="49"/>
      <c r="P161" s="49"/>
      <c r="Q161" s="49"/>
      <c r="R161" s="49"/>
      <c r="S161" s="49"/>
      <c r="T161" s="49"/>
      <c r="U161" s="49"/>
      <c r="V161" s="49"/>
      <c r="W161" s="49"/>
      <c r="X161" s="49"/>
      <c r="Y161" s="49"/>
      <c r="Z161" s="49"/>
    </row>
    <row r="162" ht="14.25" customHeight="1">
      <c r="A162" s="49"/>
      <c r="B162" s="49"/>
      <c r="C162" s="49"/>
      <c r="D162" s="49"/>
      <c r="E162" s="49"/>
      <c r="F162" s="49"/>
      <c r="G162" s="49"/>
      <c r="H162" s="49"/>
      <c r="I162" s="49"/>
      <c r="J162" s="49"/>
      <c r="K162" s="49"/>
      <c r="L162" s="49"/>
      <c r="M162" s="49"/>
      <c r="N162" s="49"/>
      <c r="O162" s="49"/>
      <c r="P162" s="49"/>
      <c r="Q162" s="49"/>
      <c r="R162" s="49"/>
      <c r="S162" s="49"/>
      <c r="T162" s="49"/>
      <c r="U162" s="49"/>
      <c r="V162" s="49"/>
      <c r="W162" s="49"/>
      <c r="X162" s="49"/>
      <c r="Y162" s="49"/>
      <c r="Z162" s="49"/>
    </row>
    <row r="163" ht="14.25" customHeight="1">
      <c r="A163" s="49"/>
      <c r="B163" s="49"/>
      <c r="C163" s="49"/>
      <c r="D163" s="49"/>
      <c r="E163" s="49"/>
      <c r="F163" s="49"/>
      <c r="G163" s="49"/>
      <c r="H163" s="49"/>
      <c r="I163" s="49"/>
      <c r="J163" s="49"/>
      <c r="K163" s="49"/>
      <c r="L163" s="49"/>
      <c r="M163" s="49"/>
      <c r="N163" s="49"/>
      <c r="O163" s="49"/>
      <c r="P163" s="49"/>
      <c r="Q163" s="49"/>
      <c r="R163" s="49"/>
      <c r="S163" s="49"/>
      <c r="T163" s="49"/>
      <c r="U163" s="49"/>
      <c r="V163" s="49"/>
      <c r="W163" s="49"/>
      <c r="X163" s="49"/>
      <c r="Y163" s="49"/>
      <c r="Z163" s="49"/>
    </row>
    <row r="164" ht="14.25" customHeight="1">
      <c r="A164" s="49"/>
      <c r="B164" s="49"/>
      <c r="C164" s="49"/>
      <c r="D164" s="49"/>
      <c r="E164" s="49"/>
      <c r="F164" s="49"/>
      <c r="G164" s="49"/>
      <c r="H164" s="49"/>
      <c r="I164" s="49"/>
      <c r="J164" s="49"/>
      <c r="K164" s="49"/>
      <c r="L164" s="49"/>
      <c r="M164" s="49"/>
      <c r="N164" s="49"/>
      <c r="O164" s="49"/>
      <c r="P164" s="49"/>
      <c r="Q164" s="49"/>
      <c r="R164" s="49"/>
      <c r="S164" s="49"/>
      <c r="T164" s="49"/>
      <c r="U164" s="49"/>
      <c r="V164" s="49"/>
      <c r="W164" s="49"/>
      <c r="X164" s="49"/>
      <c r="Y164" s="49"/>
      <c r="Z164" s="49"/>
    </row>
    <row r="165" ht="14.25" customHeight="1">
      <c r="A165" s="49"/>
      <c r="B165" s="49"/>
      <c r="C165" s="49"/>
      <c r="D165" s="49"/>
      <c r="E165" s="49"/>
      <c r="F165" s="49"/>
      <c r="G165" s="49"/>
      <c r="H165" s="49"/>
      <c r="I165" s="49"/>
      <c r="J165" s="49"/>
      <c r="K165" s="49"/>
      <c r="L165" s="49"/>
      <c r="M165" s="49"/>
      <c r="N165" s="49"/>
      <c r="O165" s="49"/>
      <c r="P165" s="49"/>
      <c r="Q165" s="49"/>
      <c r="R165" s="49"/>
      <c r="S165" s="49"/>
      <c r="T165" s="49"/>
      <c r="U165" s="49"/>
      <c r="V165" s="49"/>
      <c r="W165" s="49"/>
      <c r="X165" s="49"/>
      <c r="Y165" s="49"/>
      <c r="Z165" s="49"/>
    </row>
    <row r="166" ht="14.25" customHeight="1">
      <c r="A166" s="49"/>
      <c r="B166" s="49"/>
      <c r="C166" s="49"/>
      <c r="D166" s="49"/>
      <c r="E166" s="49"/>
      <c r="F166" s="49"/>
      <c r="G166" s="49"/>
      <c r="H166" s="49"/>
      <c r="I166" s="49"/>
      <c r="J166" s="49"/>
      <c r="K166" s="49"/>
      <c r="L166" s="49"/>
      <c r="M166" s="49"/>
      <c r="N166" s="49"/>
      <c r="O166" s="49"/>
      <c r="P166" s="49"/>
      <c r="Q166" s="49"/>
      <c r="R166" s="49"/>
      <c r="S166" s="49"/>
      <c r="T166" s="49"/>
      <c r="U166" s="49"/>
      <c r="V166" s="49"/>
      <c r="W166" s="49"/>
      <c r="X166" s="49"/>
      <c r="Y166" s="49"/>
      <c r="Z166" s="49"/>
    </row>
    <row r="167" ht="14.25" customHeight="1">
      <c r="A167" s="49"/>
      <c r="B167" s="49"/>
      <c r="C167" s="49"/>
      <c r="D167" s="49"/>
      <c r="E167" s="49"/>
      <c r="F167" s="49"/>
      <c r="G167" s="49"/>
      <c r="H167" s="49"/>
      <c r="I167" s="49"/>
      <c r="J167" s="49"/>
      <c r="K167" s="49"/>
      <c r="L167" s="49"/>
      <c r="M167" s="49"/>
      <c r="N167" s="49"/>
      <c r="O167" s="49"/>
      <c r="P167" s="49"/>
      <c r="Q167" s="49"/>
      <c r="R167" s="49"/>
      <c r="S167" s="49"/>
      <c r="T167" s="49"/>
      <c r="U167" s="49"/>
      <c r="V167" s="49"/>
      <c r="W167" s="49"/>
      <c r="X167" s="49"/>
      <c r="Y167" s="49"/>
      <c r="Z167" s="49"/>
    </row>
    <row r="168" ht="14.25" customHeight="1">
      <c r="A168" s="49"/>
      <c r="B168" s="49"/>
      <c r="C168" s="49"/>
      <c r="D168" s="49"/>
      <c r="E168" s="49"/>
      <c r="F168" s="49"/>
      <c r="G168" s="49"/>
      <c r="H168" s="49"/>
      <c r="I168" s="49"/>
      <c r="J168" s="49"/>
      <c r="K168" s="49"/>
      <c r="L168" s="49"/>
      <c r="M168" s="49"/>
      <c r="N168" s="49"/>
      <c r="O168" s="49"/>
      <c r="P168" s="49"/>
      <c r="Q168" s="49"/>
      <c r="R168" s="49"/>
      <c r="S168" s="49"/>
      <c r="T168" s="49"/>
      <c r="U168" s="49"/>
      <c r="V168" s="49"/>
      <c r="W168" s="49"/>
      <c r="X168" s="49"/>
      <c r="Y168" s="49"/>
      <c r="Z168" s="49"/>
    </row>
    <row r="169" ht="14.25" customHeight="1">
      <c r="A169" s="49"/>
      <c r="B169" s="49"/>
      <c r="C169" s="49"/>
      <c r="D169" s="49"/>
      <c r="E169" s="49"/>
      <c r="F169" s="49"/>
      <c r="G169" s="49"/>
      <c r="H169" s="49"/>
      <c r="I169" s="49"/>
      <c r="J169" s="49"/>
      <c r="K169" s="49"/>
      <c r="L169" s="49"/>
      <c r="M169" s="49"/>
      <c r="N169" s="49"/>
      <c r="O169" s="49"/>
      <c r="P169" s="49"/>
      <c r="Q169" s="49"/>
      <c r="R169" s="49"/>
      <c r="S169" s="49"/>
      <c r="T169" s="49"/>
      <c r="U169" s="49"/>
      <c r="V169" s="49"/>
      <c r="W169" s="49"/>
      <c r="X169" s="49"/>
      <c r="Y169" s="49"/>
      <c r="Z169" s="49"/>
    </row>
    <row r="170" ht="14.25" customHeight="1">
      <c r="A170" s="49"/>
      <c r="B170" s="49"/>
      <c r="C170" s="49"/>
      <c r="D170" s="49"/>
      <c r="E170" s="49"/>
      <c r="F170" s="49"/>
      <c r="G170" s="49"/>
      <c r="H170" s="49"/>
      <c r="I170" s="49"/>
      <c r="J170" s="49"/>
      <c r="K170" s="49"/>
      <c r="L170" s="49"/>
      <c r="M170" s="49"/>
      <c r="N170" s="49"/>
      <c r="O170" s="49"/>
      <c r="P170" s="49"/>
      <c r="Q170" s="49"/>
      <c r="R170" s="49"/>
      <c r="S170" s="49"/>
      <c r="T170" s="49"/>
      <c r="U170" s="49"/>
      <c r="V170" s="49"/>
      <c r="W170" s="49"/>
      <c r="X170" s="49"/>
      <c r="Y170" s="49"/>
      <c r="Z170" s="49"/>
    </row>
    <row r="171" ht="14.25" customHeight="1">
      <c r="A171" s="49"/>
      <c r="B171" s="49"/>
      <c r="C171" s="49"/>
      <c r="D171" s="49"/>
      <c r="E171" s="49"/>
      <c r="F171" s="49"/>
      <c r="G171" s="49"/>
      <c r="H171" s="49"/>
      <c r="I171" s="49"/>
      <c r="J171" s="49"/>
      <c r="K171" s="49"/>
      <c r="L171" s="49"/>
      <c r="M171" s="49"/>
      <c r="N171" s="49"/>
      <c r="O171" s="49"/>
      <c r="P171" s="49"/>
      <c r="Q171" s="49"/>
      <c r="R171" s="49"/>
      <c r="S171" s="49"/>
      <c r="T171" s="49"/>
      <c r="U171" s="49"/>
      <c r="V171" s="49"/>
      <c r="W171" s="49"/>
      <c r="X171" s="49"/>
      <c r="Y171" s="49"/>
      <c r="Z171" s="49"/>
    </row>
    <row r="172" ht="14.25" customHeight="1">
      <c r="A172" s="49"/>
      <c r="B172" s="49"/>
      <c r="C172" s="49"/>
      <c r="D172" s="49"/>
      <c r="E172" s="49"/>
      <c r="F172" s="49"/>
      <c r="G172" s="49"/>
      <c r="H172" s="49"/>
      <c r="I172" s="49"/>
      <c r="J172" s="49"/>
      <c r="K172" s="49"/>
      <c r="L172" s="49"/>
      <c r="M172" s="49"/>
      <c r="N172" s="49"/>
      <c r="O172" s="49"/>
      <c r="P172" s="49"/>
      <c r="Q172" s="49"/>
      <c r="R172" s="49"/>
      <c r="S172" s="49"/>
      <c r="T172" s="49"/>
      <c r="U172" s="49"/>
      <c r="V172" s="49"/>
      <c r="W172" s="49"/>
      <c r="X172" s="49"/>
      <c r="Y172" s="49"/>
      <c r="Z172" s="49"/>
    </row>
    <row r="173" ht="14.25" customHeight="1">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c r="Z173" s="49"/>
    </row>
    <row r="174" ht="14.25" customHeight="1">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49"/>
      <c r="Y174" s="49"/>
      <c r="Z174" s="49"/>
    </row>
    <row r="175" ht="14.25" customHeight="1">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49"/>
      <c r="Y175" s="49"/>
      <c r="Z175" s="49"/>
    </row>
    <row r="176" ht="14.25" customHeight="1">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49"/>
      <c r="Y176" s="49"/>
      <c r="Z176" s="49"/>
    </row>
    <row r="177" ht="14.25" customHeight="1">
      <c r="A177" s="49"/>
      <c r="B177" s="49"/>
      <c r="C177" s="49"/>
      <c r="D177" s="49"/>
      <c r="E177" s="49"/>
      <c r="F177" s="49"/>
      <c r="G177" s="49"/>
      <c r="H177" s="49"/>
      <c r="I177" s="49"/>
      <c r="J177" s="49"/>
      <c r="K177" s="49"/>
      <c r="L177" s="49"/>
      <c r="M177" s="49"/>
      <c r="N177" s="49"/>
      <c r="O177" s="49"/>
      <c r="P177" s="49"/>
      <c r="Q177" s="49"/>
      <c r="R177" s="49"/>
      <c r="S177" s="49"/>
      <c r="T177" s="49"/>
      <c r="U177" s="49"/>
      <c r="V177" s="49"/>
      <c r="W177" s="49"/>
      <c r="X177" s="49"/>
      <c r="Y177" s="49"/>
      <c r="Z177" s="49"/>
    </row>
    <row r="178" ht="14.25" customHeight="1">
      <c r="A178" s="49"/>
      <c r="B178" s="49"/>
      <c r="C178" s="49"/>
      <c r="D178" s="49"/>
      <c r="E178" s="49"/>
      <c r="F178" s="49"/>
      <c r="G178" s="49"/>
      <c r="H178" s="49"/>
      <c r="I178" s="49"/>
      <c r="J178" s="49"/>
      <c r="K178" s="49"/>
      <c r="L178" s="49"/>
      <c r="M178" s="49"/>
      <c r="N178" s="49"/>
      <c r="O178" s="49"/>
      <c r="P178" s="49"/>
      <c r="Q178" s="49"/>
      <c r="R178" s="49"/>
      <c r="S178" s="49"/>
      <c r="T178" s="49"/>
      <c r="U178" s="49"/>
      <c r="V178" s="49"/>
      <c r="W178" s="49"/>
      <c r="X178" s="49"/>
      <c r="Y178" s="49"/>
      <c r="Z178" s="49"/>
    </row>
    <row r="179" ht="14.25" customHeight="1">
      <c r="A179" s="49"/>
      <c r="B179" s="49"/>
      <c r="C179" s="49"/>
      <c r="D179" s="49"/>
      <c r="E179" s="49"/>
      <c r="F179" s="49"/>
      <c r="G179" s="49"/>
      <c r="H179" s="49"/>
      <c r="I179" s="49"/>
      <c r="J179" s="49"/>
      <c r="K179" s="49"/>
      <c r="L179" s="49"/>
      <c r="M179" s="49"/>
      <c r="N179" s="49"/>
      <c r="O179" s="49"/>
      <c r="P179" s="49"/>
      <c r="Q179" s="49"/>
      <c r="R179" s="49"/>
      <c r="S179" s="49"/>
      <c r="T179" s="49"/>
      <c r="U179" s="49"/>
      <c r="V179" s="49"/>
      <c r="W179" s="49"/>
      <c r="X179" s="49"/>
      <c r="Y179" s="49"/>
      <c r="Z179" s="49"/>
    </row>
    <row r="180" ht="14.25" customHeight="1">
      <c r="A180" s="49"/>
      <c r="B180" s="49"/>
      <c r="C180" s="49"/>
      <c r="D180" s="49"/>
      <c r="E180" s="49"/>
      <c r="F180" s="49"/>
      <c r="G180" s="49"/>
      <c r="H180" s="49"/>
      <c r="I180" s="49"/>
      <c r="J180" s="49"/>
      <c r="K180" s="49"/>
      <c r="L180" s="49"/>
      <c r="M180" s="49"/>
      <c r="N180" s="49"/>
      <c r="O180" s="49"/>
      <c r="P180" s="49"/>
      <c r="Q180" s="49"/>
      <c r="R180" s="49"/>
      <c r="S180" s="49"/>
      <c r="T180" s="49"/>
      <c r="U180" s="49"/>
      <c r="V180" s="49"/>
      <c r="W180" s="49"/>
      <c r="X180" s="49"/>
      <c r="Y180" s="49"/>
      <c r="Z180" s="49"/>
    </row>
    <row r="181" ht="14.25" customHeight="1">
      <c r="A181" s="49"/>
      <c r="B181" s="49"/>
      <c r="C181" s="49"/>
      <c r="D181" s="49"/>
      <c r="E181" s="49"/>
      <c r="F181" s="49"/>
      <c r="G181" s="49"/>
      <c r="H181" s="49"/>
      <c r="I181" s="49"/>
      <c r="J181" s="49"/>
      <c r="K181" s="49"/>
      <c r="L181" s="49"/>
      <c r="M181" s="49"/>
      <c r="N181" s="49"/>
      <c r="O181" s="49"/>
      <c r="P181" s="49"/>
      <c r="Q181" s="49"/>
      <c r="R181" s="49"/>
      <c r="S181" s="49"/>
      <c r="T181" s="49"/>
      <c r="U181" s="49"/>
      <c r="V181" s="49"/>
      <c r="W181" s="49"/>
      <c r="X181" s="49"/>
      <c r="Y181" s="49"/>
      <c r="Z181" s="49"/>
    </row>
    <row r="182" ht="14.25" customHeight="1">
      <c r="A182" s="49"/>
      <c r="B182" s="49"/>
      <c r="C182" s="49"/>
      <c r="D182" s="49"/>
      <c r="E182" s="49"/>
      <c r="F182" s="49"/>
      <c r="G182" s="49"/>
      <c r="H182" s="49"/>
      <c r="I182" s="49"/>
      <c r="J182" s="49"/>
      <c r="K182" s="49"/>
      <c r="L182" s="49"/>
      <c r="M182" s="49"/>
      <c r="N182" s="49"/>
      <c r="O182" s="49"/>
      <c r="P182" s="49"/>
      <c r="Q182" s="49"/>
      <c r="R182" s="49"/>
      <c r="S182" s="49"/>
      <c r="T182" s="49"/>
      <c r="U182" s="49"/>
      <c r="V182" s="49"/>
      <c r="W182" s="49"/>
      <c r="X182" s="49"/>
      <c r="Y182" s="49"/>
      <c r="Z182" s="49"/>
    </row>
    <row r="183" ht="14.25" customHeight="1">
      <c r="A183" s="49"/>
      <c r="B183" s="49"/>
      <c r="C183" s="49"/>
      <c r="D183" s="49"/>
      <c r="E183" s="49"/>
      <c r="F183" s="49"/>
      <c r="G183" s="49"/>
      <c r="H183" s="49"/>
      <c r="I183" s="49"/>
      <c r="J183" s="49"/>
      <c r="K183" s="49"/>
      <c r="L183" s="49"/>
      <c r="M183" s="49"/>
      <c r="N183" s="49"/>
      <c r="O183" s="49"/>
      <c r="P183" s="49"/>
      <c r="Q183" s="49"/>
      <c r="R183" s="49"/>
      <c r="S183" s="49"/>
      <c r="T183" s="49"/>
      <c r="U183" s="49"/>
      <c r="V183" s="49"/>
      <c r="W183" s="49"/>
      <c r="X183" s="49"/>
      <c r="Y183" s="49"/>
      <c r="Z183" s="49"/>
    </row>
    <row r="184" ht="14.25" customHeight="1">
      <c r="A184" s="49"/>
      <c r="B184" s="49"/>
      <c r="C184" s="49"/>
      <c r="D184" s="49"/>
      <c r="E184" s="49"/>
      <c r="F184" s="49"/>
      <c r="G184" s="49"/>
      <c r="H184" s="49"/>
      <c r="I184" s="49"/>
      <c r="J184" s="49"/>
      <c r="K184" s="49"/>
      <c r="L184" s="49"/>
      <c r="M184" s="49"/>
      <c r="N184" s="49"/>
      <c r="O184" s="49"/>
      <c r="P184" s="49"/>
      <c r="Q184" s="49"/>
      <c r="R184" s="49"/>
      <c r="S184" s="49"/>
      <c r="T184" s="49"/>
      <c r="U184" s="49"/>
      <c r="V184" s="49"/>
      <c r="W184" s="49"/>
      <c r="X184" s="49"/>
      <c r="Y184" s="49"/>
      <c r="Z184" s="49"/>
    </row>
    <row r="185" ht="14.25" customHeight="1">
      <c r="A185" s="49"/>
      <c r="B185" s="49"/>
      <c r="C185" s="49"/>
      <c r="D185" s="49"/>
      <c r="E185" s="49"/>
      <c r="F185" s="49"/>
      <c r="G185" s="49"/>
      <c r="H185" s="49"/>
      <c r="I185" s="49"/>
      <c r="J185" s="49"/>
      <c r="K185" s="49"/>
      <c r="L185" s="49"/>
      <c r="M185" s="49"/>
      <c r="N185" s="49"/>
      <c r="O185" s="49"/>
      <c r="P185" s="49"/>
      <c r="Q185" s="49"/>
      <c r="R185" s="49"/>
      <c r="S185" s="49"/>
      <c r="T185" s="49"/>
      <c r="U185" s="49"/>
      <c r="V185" s="49"/>
      <c r="W185" s="49"/>
      <c r="X185" s="49"/>
      <c r="Y185" s="49"/>
      <c r="Z185" s="49"/>
    </row>
    <row r="186" ht="14.25" customHeight="1">
      <c r="A186" s="49"/>
      <c r="B186" s="49"/>
      <c r="C186" s="49"/>
      <c r="D186" s="49"/>
      <c r="E186" s="49"/>
      <c r="F186" s="49"/>
      <c r="G186" s="49"/>
      <c r="H186" s="49"/>
      <c r="I186" s="49"/>
      <c r="J186" s="49"/>
      <c r="K186" s="49"/>
      <c r="L186" s="49"/>
      <c r="M186" s="49"/>
      <c r="N186" s="49"/>
      <c r="O186" s="49"/>
      <c r="P186" s="49"/>
      <c r="Q186" s="49"/>
      <c r="R186" s="49"/>
      <c r="S186" s="49"/>
      <c r="T186" s="49"/>
      <c r="U186" s="49"/>
      <c r="V186" s="49"/>
      <c r="W186" s="49"/>
      <c r="X186" s="49"/>
      <c r="Y186" s="49"/>
      <c r="Z186" s="49"/>
    </row>
    <row r="187" ht="14.25" customHeight="1">
      <c r="A187" s="49"/>
      <c r="B187" s="49"/>
      <c r="C187" s="49"/>
      <c r="D187" s="49"/>
      <c r="E187" s="49"/>
      <c r="F187" s="49"/>
      <c r="G187" s="49"/>
      <c r="H187" s="49"/>
      <c r="I187" s="49"/>
      <c r="J187" s="49"/>
      <c r="K187" s="49"/>
      <c r="L187" s="49"/>
      <c r="M187" s="49"/>
      <c r="N187" s="49"/>
      <c r="O187" s="49"/>
      <c r="P187" s="49"/>
      <c r="Q187" s="49"/>
      <c r="R187" s="49"/>
      <c r="S187" s="49"/>
      <c r="T187" s="49"/>
      <c r="U187" s="49"/>
      <c r="V187" s="49"/>
      <c r="W187" s="49"/>
      <c r="X187" s="49"/>
      <c r="Y187" s="49"/>
      <c r="Z187" s="49"/>
    </row>
    <row r="188" ht="14.25" customHeight="1">
      <c r="A188" s="49"/>
      <c r="B188" s="49"/>
      <c r="C188" s="49"/>
      <c r="D188" s="49"/>
      <c r="E188" s="49"/>
      <c r="F188" s="49"/>
      <c r="G188" s="49"/>
      <c r="H188" s="49"/>
      <c r="I188" s="49"/>
      <c r="J188" s="49"/>
      <c r="K188" s="49"/>
      <c r="L188" s="49"/>
      <c r="M188" s="49"/>
      <c r="N188" s="49"/>
      <c r="O188" s="49"/>
      <c r="P188" s="49"/>
      <c r="Q188" s="49"/>
      <c r="R188" s="49"/>
      <c r="S188" s="49"/>
      <c r="T188" s="49"/>
      <c r="U188" s="49"/>
      <c r="V188" s="49"/>
      <c r="W188" s="49"/>
      <c r="X188" s="49"/>
      <c r="Y188" s="49"/>
      <c r="Z188" s="49"/>
    </row>
    <row r="189" ht="14.25" customHeight="1">
      <c r="A189" s="49"/>
      <c r="B189" s="49"/>
      <c r="C189" s="49"/>
      <c r="D189" s="49"/>
      <c r="E189" s="49"/>
      <c r="F189" s="49"/>
      <c r="G189" s="49"/>
      <c r="H189" s="49"/>
      <c r="I189" s="49"/>
      <c r="J189" s="49"/>
      <c r="K189" s="49"/>
      <c r="L189" s="49"/>
      <c r="M189" s="49"/>
      <c r="N189" s="49"/>
      <c r="O189" s="49"/>
      <c r="P189" s="49"/>
      <c r="Q189" s="49"/>
      <c r="R189" s="49"/>
      <c r="S189" s="49"/>
      <c r="T189" s="49"/>
      <c r="U189" s="49"/>
      <c r="V189" s="49"/>
      <c r="W189" s="49"/>
      <c r="X189" s="49"/>
      <c r="Y189" s="49"/>
      <c r="Z189" s="49"/>
    </row>
    <row r="190" ht="14.25" customHeight="1">
      <c r="A190" s="49"/>
      <c r="B190" s="49"/>
      <c r="C190" s="49"/>
      <c r="D190" s="49"/>
      <c r="E190" s="49"/>
      <c r="F190" s="49"/>
      <c r="G190" s="49"/>
      <c r="H190" s="49"/>
      <c r="I190" s="49"/>
      <c r="J190" s="49"/>
      <c r="K190" s="49"/>
      <c r="L190" s="49"/>
      <c r="M190" s="49"/>
      <c r="N190" s="49"/>
      <c r="O190" s="49"/>
      <c r="P190" s="49"/>
      <c r="Q190" s="49"/>
      <c r="R190" s="49"/>
      <c r="S190" s="49"/>
      <c r="T190" s="49"/>
      <c r="U190" s="49"/>
      <c r="V190" s="49"/>
      <c r="W190" s="49"/>
      <c r="X190" s="49"/>
      <c r="Y190" s="49"/>
      <c r="Z190" s="49"/>
    </row>
    <row r="191" ht="14.25" customHeight="1">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49"/>
      <c r="Y191" s="49"/>
      <c r="Z191" s="49"/>
    </row>
    <row r="192" ht="14.25" customHeight="1">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49"/>
      <c r="Y192" s="49"/>
      <c r="Z192" s="49"/>
    </row>
    <row r="193" ht="14.25" customHeight="1">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49"/>
      <c r="Y193" s="49"/>
      <c r="Z193" s="49"/>
    </row>
    <row r="194" ht="14.25" customHeight="1">
      <c r="A194" s="49"/>
      <c r="B194" s="49"/>
      <c r="C194" s="49"/>
      <c r="D194" s="49"/>
      <c r="E194" s="49"/>
      <c r="F194" s="49"/>
      <c r="G194" s="49"/>
      <c r="H194" s="49"/>
      <c r="I194" s="49"/>
      <c r="J194" s="49"/>
      <c r="K194" s="49"/>
      <c r="L194" s="49"/>
      <c r="M194" s="49"/>
      <c r="N194" s="49"/>
      <c r="O194" s="49"/>
      <c r="P194" s="49"/>
      <c r="Q194" s="49"/>
      <c r="R194" s="49"/>
      <c r="S194" s="49"/>
      <c r="T194" s="49"/>
      <c r="U194" s="49"/>
      <c r="V194" s="49"/>
      <c r="W194" s="49"/>
      <c r="X194" s="49"/>
      <c r="Y194" s="49"/>
      <c r="Z194" s="49"/>
    </row>
    <row r="195" ht="14.25" customHeight="1">
      <c r="A195" s="49"/>
      <c r="B195" s="49"/>
      <c r="C195" s="49"/>
      <c r="D195" s="49"/>
      <c r="E195" s="49"/>
      <c r="F195" s="49"/>
      <c r="G195" s="49"/>
      <c r="H195" s="49"/>
      <c r="I195" s="49"/>
      <c r="J195" s="49"/>
      <c r="K195" s="49"/>
      <c r="L195" s="49"/>
      <c r="M195" s="49"/>
      <c r="N195" s="49"/>
      <c r="O195" s="49"/>
      <c r="P195" s="49"/>
      <c r="Q195" s="49"/>
      <c r="R195" s="49"/>
      <c r="S195" s="49"/>
      <c r="T195" s="49"/>
      <c r="U195" s="49"/>
      <c r="V195" s="49"/>
      <c r="W195" s="49"/>
      <c r="X195" s="49"/>
      <c r="Y195" s="49"/>
      <c r="Z195" s="49"/>
    </row>
    <row r="196" ht="14.25" customHeight="1">
      <c r="A196" s="49"/>
      <c r="B196" s="49"/>
      <c r="C196" s="49"/>
      <c r="D196" s="49"/>
      <c r="E196" s="49"/>
      <c r="F196" s="49"/>
      <c r="G196" s="49"/>
      <c r="H196" s="49"/>
      <c r="I196" s="49"/>
      <c r="J196" s="49"/>
      <c r="K196" s="49"/>
      <c r="L196" s="49"/>
      <c r="M196" s="49"/>
      <c r="N196" s="49"/>
      <c r="O196" s="49"/>
      <c r="P196" s="49"/>
      <c r="Q196" s="49"/>
      <c r="R196" s="49"/>
      <c r="S196" s="49"/>
      <c r="T196" s="49"/>
      <c r="U196" s="49"/>
      <c r="V196" s="49"/>
      <c r="W196" s="49"/>
      <c r="X196" s="49"/>
      <c r="Y196" s="49"/>
      <c r="Z196" s="49"/>
    </row>
    <row r="197" ht="14.25" customHeight="1">
      <c r="A197" s="49"/>
      <c r="B197" s="49"/>
      <c r="C197" s="49"/>
      <c r="D197" s="49"/>
      <c r="E197" s="49"/>
      <c r="F197" s="49"/>
      <c r="G197" s="49"/>
      <c r="H197" s="49"/>
      <c r="I197" s="49"/>
      <c r="J197" s="49"/>
      <c r="K197" s="49"/>
      <c r="L197" s="49"/>
      <c r="M197" s="49"/>
      <c r="N197" s="49"/>
      <c r="O197" s="49"/>
      <c r="P197" s="49"/>
      <c r="Q197" s="49"/>
      <c r="R197" s="49"/>
      <c r="S197" s="49"/>
      <c r="T197" s="49"/>
      <c r="U197" s="49"/>
      <c r="V197" s="49"/>
      <c r="W197" s="49"/>
      <c r="X197" s="49"/>
      <c r="Y197" s="49"/>
      <c r="Z197" s="49"/>
    </row>
    <row r="198" ht="14.25" customHeight="1">
      <c r="A198" s="49"/>
      <c r="B198" s="49"/>
      <c r="C198" s="49"/>
      <c r="D198" s="49"/>
      <c r="E198" s="49"/>
      <c r="F198" s="49"/>
      <c r="G198" s="49"/>
      <c r="H198" s="49"/>
      <c r="I198" s="49"/>
      <c r="J198" s="49"/>
      <c r="K198" s="49"/>
      <c r="L198" s="49"/>
      <c r="M198" s="49"/>
      <c r="N198" s="49"/>
      <c r="O198" s="49"/>
      <c r="P198" s="49"/>
      <c r="Q198" s="49"/>
      <c r="R198" s="49"/>
      <c r="S198" s="49"/>
      <c r="T198" s="49"/>
      <c r="U198" s="49"/>
      <c r="V198" s="49"/>
      <c r="W198" s="49"/>
      <c r="X198" s="49"/>
      <c r="Y198" s="49"/>
      <c r="Z198" s="49"/>
    </row>
    <row r="199" ht="14.25" customHeight="1">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49"/>
      <c r="Y199" s="49"/>
      <c r="Z199" s="49"/>
    </row>
    <row r="200" ht="14.25" customHeight="1">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49"/>
      <c r="Y200" s="49"/>
      <c r="Z200" s="49"/>
    </row>
    <row r="201" ht="14.25" customHeight="1">
      <c r="A201" s="49"/>
      <c r="B201" s="49"/>
      <c r="C201" s="49"/>
      <c r="D201" s="49"/>
      <c r="E201" s="49"/>
      <c r="F201" s="49"/>
      <c r="G201" s="49"/>
      <c r="H201" s="49"/>
      <c r="I201" s="49"/>
      <c r="J201" s="49"/>
      <c r="K201" s="49"/>
      <c r="L201" s="49"/>
      <c r="M201" s="49"/>
      <c r="N201" s="49"/>
      <c r="O201" s="49"/>
      <c r="P201" s="49"/>
      <c r="Q201" s="49"/>
      <c r="R201" s="49"/>
      <c r="S201" s="49"/>
      <c r="T201" s="49"/>
      <c r="U201" s="49"/>
      <c r="V201" s="49"/>
      <c r="W201" s="49"/>
      <c r="X201" s="49"/>
      <c r="Y201" s="49"/>
      <c r="Z201" s="49"/>
    </row>
    <row r="202" ht="14.25" customHeight="1">
      <c r="A202" s="49"/>
      <c r="B202" s="49"/>
      <c r="C202" s="49"/>
      <c r="D202" s="49"/>
      <c r="E202" s="49"/>
      <c r="F202" s="49"/>
      <c r="G202" s="49"/>
      <c r="H202" s="49"/>
      <c r="I202" s="49"/>
      <c r="J202" s="49"/>
      <c r="K202" s="49"/>
      <c r="L202" s="49"/>
      <c r="M202" s="49"/>
      <c r="N202" s="49"/>
      <c r="O202" s="49"/>
      <c r="P202" s="49"/>
      <c r="Q202" s="49"/>
      <c r="R202" s="49"/>
      <c r="S202" s="49"/>
      <c r="T202" s="49"/>
      <c r="U202" s="49"/>
      <c r="V202" s="49"/>
      <c r="W202" s="49"/>
      <c r="X202" s="49"/>
      <c r="Y202" s="49"/>
      <c r="Z202" s="49"/>
    </row>
    <row r="203" ht="14.25" customHeight="1">
      <c r="A203" s="49"/>
      <c r="B203" s="49"/>
      <c r="C203" s="49"/>
      <c r="D203" s="49"/>
      <c r="E203" s="49"/>
      <c r="F203" s="49"/>
      <c r="G203" s="49"/>
      <c r="H203" s="49"/>
      <c r="I203" s="49"/>
      <c r="J203" s="49"/>
      <c r="K203" s="49"/>
      <c r="L203" s="49"/>
      <c r="M203" s="49"/>
      <c r="N203" s="49"/>
      <c r="O203" s="49"/>
      <c r="P203" s="49"/>
      <c r="Q203" s="49"/>
      <c r="R203" s="49"/>
      <c r="S203" s="49"/>
      <c r="T203" s="49"/>
      <c r="U203" s="49"/>
      <c r="V203" s="49"/>
      <c r="W203" s="49"/>
      <c r="X203" s="49"/>
      <c r="Y203" s="49"/>
      <c r="Z203" s="49"/>
    </row>
    <row r="204" ht="14.25" customHeight="1">
      <c r="A204" s="49"/>
      <c r="B204" s="49"/>
      <c r="C204" s="49"/>
      <c r="D204" s="49"/>
      <c r="E204" s="49"/>
      <c r="F204" s="49"/>
      <c r="G204" s="49"/>
      <c r="H204" s="49"/>
      <c r="I204" s="49"/>
      <c r="J204" s="49"/>
      <c r="K204" s="49"/>
      <c r="L204" s="49"/>
      <c r="M204" s="49"/>
      <c r="N204" s="49"/>
      <c r="O204" s="49"/>
      <c r="P204" s="49"/>
      <c r="Q204" s="49"/>
      <c r="R204" s="49"/>
      <c r="S204" s="49"/>
      <c r="T204" s="49"/>
      <c r="U204" s="49"/>
      <c r="V204" s="49"/>
      <c r="W204" s="49"/>
      <c r="X204" s="49"/>
      <c r="Y204" s="49"/>
      <c r="Z204" s="49"/>
    </row>
    <row r="205" ht="14.25" customHeight="1">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49"/>
      <c r="Y205" s="49"/>
      <c r="Z205" s="49"/>
    </row>
    <row r="206" ht="14.25" customHeight="1">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49"/>
      <c r="Y206" s="49"/>
      <c r="Z206" s="49"/>
    </row>
    <row r="207" ht="14.25" customHeight="1">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49"/>
      <c r="Y207" s="49"/>
      <c r="Z207" s="49"/>
    </row>
    <row r="208" ht="14.25" customHeight="1">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49"/>
      <c r="Y208" s="49"/>
      <c r="Z208" s="49"/>
    </row>
    <row r="209" ht="14.25" customHeight="1">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49"/>
      <c r="Y209" s="49"/>
      <c r="Z209" s="49"/>
    </row>
    <row r="210" ht="14.25" customHeight="1">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c r="Z210" s="49"/>
    </row>
    <row r="211" ht="14.25" customHeight="1">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49"/>
      <c r="Y211" s="49"/>
      <c r="Z211" s="49"/>
    </row>
    <row r="212" ht="14.25" customHeight="1">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49"/>
      <c r="Y212" s="49"/>
      <c r="Z212" s="49"/>
    </row>
    <row r="213" ht="14.25" customHeight="1">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49"/>
      <c r="Y213" s="49"/>
      <c r="Z213" s="49"/>
    </row>
    <row r="214" ht="14.25" customHeight="1">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49"/>
      <c r="Y214" s="49"/>
      <c r="Z214" s="49"/>
    </row>
    <row r="215" ht="14.25" customHeight="1">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49"/>
      <c r="Y215" s="49"/>
      <c r="Z215" s="49"/>
    </row>
    <row r="216" ht="14.25" customHeight="1">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row>
    <row r="217" ht="14.25" customHeight="1">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row>
    <row r="218" ht="14.25" customHeight="1">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row>
    <row r="219" ht="14.25" customHeight="1">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row>
    <row r="220" ht="14.25" customHeight="1">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row>
    <row r="221" ht="14.25" customHeight="1">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49"/>
      <c r="Y221" s="49"/>
      <c r="Z221" s="49"/>
    </row>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B4:B5"/>
    <mergeCell ref="C4:C5"/>
    <mergeCell ref="B10:B15"/>
    <mergeCell ref="C10:C15"/>
    <mergeCell ref="D10:D12"/>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88"/>
    <col customWidth="1" min="2" max="3" width="12.38"/>
    <col customWidth="1" min="4" max="26" width="8.63"/>
  </cols>
  <sheetData>
    <row r="1" ht="14.25" customHeight="1">
      <c r="A1" s="27" t="s">
        <v>162</v>
      </c>
      <c r="B1" s="27" t="s">
        <v>163</v>
      </c>
      <c r="C1" s="27" t="s">
        <v>164</v>
      </c>
      <c r="D1" s="27" t="s">
        <v>165</v>
      </c>
      <c r="E1" s="27" t="s">
        <v>166</v>
      </c>
      <c r="F1" s="27" t="s">
        <v>167</v>
      </c>
    </row>
    <row r="2" ht="14.25" customHeight="1">
      <c r="A2" s="20">
        <v>1.0</v>
      </c>
      <c r="B2" s="55">
        <v>46092.0</v>
      </c>
      <c r="C2" s="20" t="s">
        <v>168</v>
      </c>
      <c r="D2" s="20" t="s">
        <v>169</v>
      </c>
      <c r="E2" s="20" t="s">
        <v>170</v>
      </c>
      <c r="F2" s="20" t="s">
        <v>171</v>
      </c>
    </row>
    <row r="3" ht="14.25" customHeight="1">
      <c r="A3" s="20">
        <v>2.0</v>
      </c>
      <c r="B3" s="55">
        <v>46092.0</v>
      </c>
      <c r="C3" s="20" t="s">
        <v>172</v>
      </c>
      <c r="D3" s="20" t="s">
        <v>173</v>
      </c>
      <c r="E3" s="20" t="s">
        <v>174</v>
      </c>
      <c r="F3" s="20" t="s">
        <v>175</v>
      </c>
    </row>
    <row r="4" ht="14.25" customHeight="1">
      <c r="A4" s="20">
        <v>3.0</v>
      </c>
      <c r="B4" s="55">
        <v>46092.0</v>
      </c>
      <c r="C4" s="20" t="s">
        <v>176</v>
      </c>
      <c r="D4" s="20" t="s">
        <v>177</v>
      </c>
      <c r="E4" s="20" t="s">
        <v>178</v>
      </c>
      <c r="F4" s="20" t="s">
        <v>179</v>
      </c>
    </row>
    <row r="5" ht="14.25" customHeight="1">
      <c r="A5" s="20">
        <v>4.0</v>
      </c>
      <c r="B5" s="55">
        <v>46092.0</v>
      </c>
      <c r="C5" s="20" t="s">
        <v>180</v>
      </c>
      <c r="D5" s="20" t="s">
        <v>181</v>
      </c>
      <c r="E5" s="20" t="s">
        <v>182</v>
      </c>
      <c r="F5" s="20" t="s">
        <v>183</v>
      </c>
    </row>
    <row r="6" ht="14.25" customHeight="1">
      <c r="A6" s="20">
        <v>5.0</v>
      </c>
      <c r="B6" s="55">
        <v>46092.0</v>
      </c>
      <c r="C6" s="20" t="s">
        <v>184</v>
      </c>
      <c r="D6" s="20" t="s">
        <v>185</v>
      </c>
      <c r="E6" s="20" t="s">
        <v>186</v>
      </c>
      <c r="F6" s="20" t="s">
        <v>187</v>
      </c>
    </row>
    <row r="7" ht="14.25" customHeight="1">
      <c r="A7" s="20">
        <v>6.0</v>
      </c>
      <c r="B7" s="55">
        <v>46092.0</v>
      </c>
      <c r="C7" s="20" t="s">
        <v>188</v>
      </c>
      <c r="D7" s="20" t="s">
        <v>189</v>
      </c>
      <c r="E7" s="20" t="s">
        <v>190</v>
      </c>
      <c r="F7" s="20" t="s">
        <v>191</v>
      </c>
    </row>
    <row r="8" ht="14.25" customHeight="1">
      <c r="A8" s="20">
        <v>7.0</v>
      </c>
      <c r="B8" s="55">
        <v>46092.0</v>
      </c>
      <c r="C8" s="20" t="s">
        <v>192</v>
      </c>
      <c r="D8" s="20" t="s">
        <v>193</v>
      </c>
      <c r="E8" s="20" t="s">
        <v>194</v>
      </c>
      <c r="F8" s="20" t="s">
        <v>195</v>
      </c>
    </row>
    <row r="9" ht="14.25" customHeight="1">
      <c r="A9" s="20">
        <v>8.0</v>
      </c>
      <c r="B9" s="55">
        <v>46092.0</v>
      </c>
      <c r="C9" s="20" t="s">
        <v>196</v>
      </c>
      <c r="D9" s="20" t="s">
        <v>197</v>
      </c>
      <c r="E9" s="20" t="s">
        <v>198</v>
      </c>
      <c r="F9" s="20" t="s">
        <v>199</v>
      </c>
    </row>
    <row r="10" ht="14.25" customHeight="1">
      <c r="A10" s="20">
        <v>9.0</v>
      </c>
      <c r="B10" s="55">
        <v>46092.0</v>
      </c>
      <c r="C10" s="20" t="s">
        <v>200</v>
      </c>
      <c r="D10" s="20" t="s">
        <v>201</v>
      </c>
      <c r="E10" s="20" t="s">
        <v>202</v>
      </c>
      <c r="F10" s="20" t="s">
        <v>203</v>
      </c>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2026-03-11T03:12:33Z</dcterms:created>
  <dc:creator>Tung Ho</dc:creator>
</cp:coreProperties>
</file>